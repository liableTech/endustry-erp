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chav\OneDrive\Desktop\Liabletechs\industr ERP\docs\sales\"/>
    </mc:Choice>
  </mc:AlternateContent>
  <xr:revisionPtr revIDLastSave="0" documentId="13_ncr:1_{D40ABD89-D14F-4A1E-9C6E-183CA3C5C039}" xr6:coauthVersionLast="47" xr6:coauthVersionMax="47" xr10:uidLastSave="{00000000-0000-0000-0000-000000000000}"/>
  <bookViews>
    <workbookView xWindow="2730" yWindow="2730" windowWidth="21600" windowHeight="11295" activeTab="1" xr2:uid="{00000000-000D-0000-FFFF-FFFF00000000}"/>
  </bookViews>
  <sheets>
    <sheet name="Read me" sheetId="1" r:id="rId1"/>
    <sheet name="Leads" sheetId="2" r:id="rId2"/>
    <sheet name="Industries" sheetId="3" r:id="rId3"/>
    <sheet name="Find leads" sheetId="4" r:id="rId4"/>
    <sheet name="Summary" sheetId="5" r:id="rId5"/>
    <sheet name="Lists" sheetId="6" r:id="rId6"/>
  </sheets>
  <definedNames>
    <definedName name="_xlnm._FilterDatabase" localSheetId="1" hidden="1">Leads!$A$4:$X$304</definedName>
  </definedNames>
  <calcPr calcId="191029"/>
</workbook>
</file>

<file path=xl/calcChain.xml><?xml version="1.0" encoding="utf-8"?>
<calcChain xmlns="http://schemas.openxmlformats.org/spreadsheetml/2006/main">
  <c r="B30" i="5" l="1"/>
  <c r="E29" i="5"/>
  <c r="B29" i="5"/>
  <c r="E28" i="5"/>
  <c r="B28" i="5"/>
  <c r="E27" i="5"/>
  <c r="B27" i="5"/>
  <c r="E26" i="5"/>
  <c r="B26" i="5"/>
  <c r="E25" i="5"/>
  <c r="E24" i="5"/>
  <c r="E23" i="5"/>
  <c r="B23" i="5"/>
  <c r="E22" i="5"/>
  <c r="B22" i="5"/>
  <c r="E21" i="5"/>
  <c r="B21" i="5"/>
  <c r="E20" i="5"/>
  <c r="B20" i="5"/>
  <c r="E19" i="5"/>
  <c r="B19" i="5"/>
  <c r="B18" i="5"/>
  <c r="B17" i="5"/>
  <c r="E16" i="5"/>
  <c r="B16" i="5"/>
  <c r="E15" i="5"/>
  <c r="B15" i="5"/>
  <c r="E14" i="5"/>
  <c r="E13" i="5"/>
  <c r="E12" i="5"/>
  <c r="E11" i="5"/>
  <c r="E10" i="5"/>
  <c r="B10" i="5"/>
  <c r="E9" i="5"/>
  <c r="B9" i="5"/>
  <c r="B11" i="5" s="1"/>
  <c r="E8" i="5"/>
  <c r="E7" i="5"/>
  <c r="E6" i="5"/>
  <c r="E5" i="5"/>
  <c r="B5" i="5"/>
  <c r="J16" i="3"/>
  <c r="I16" i="3"/>
  <c r="J15" i="3"/>
  <c r="I15" i="3"/>
  <c r="J14" i="3"/>
  <c r="I14" i="3"/>
  <c r="J13" i="3"/>
  <c r="I13" i="3"/>
  <c r="J12" i="3"/>
  <c r="I12" i="3"/>
  <c r="J11" i="3"/>
  <c r="I11" i="3"/>
  <c r="J10" i="3"/>
  <c r="I10" i="3"/>
  <c r="I9" i="3"/>
  <c r="J8" i="3"/>
  <c r="I8" i="3"/>
  <c r="I7" i="3"/>
  <c r="I6" i="3"/>
  <c r="I5" i="3"/>
  <c r="T304" i="2"/>
  <c r="S304" i="2"/>
  <c r="A304" i="2"/>
  <c r="T303" i="2"/>
  <c r="S303" i="2"/>
  <c r="A303" i="2"/>
  <c r="T302" i="2"/>
  <c r="S302" i="2"/>
  <c r="A302" i="2"/>
  <c r="T301" i="2"/>
  <c r="S301" i="2"/>
  <c r="A301" i="2"/>
  <c r="T300" i="2"/>
  <c r="S300" i="2"/>
  <c r="A300" i="2"/>
  <c r="T299" i="2"/>
  <c r="S299" i="2"/>
  <c r="A299" i="2"/>
  <c r="T298" i="2"/>
  <c r="S298" i="2"/>
  <c r="A298" i="2"/>
  <c r="T297" i="2"/>
  <c r="S297" i="2"/>
  <c r="A297" i="2"/>
  <c r="T296" i="2"/>
  <c r="S296" i="2"/>
  <c r="A296" i="2"/>
  <c r="T295" i="2"/>
  <c r="S295" i="2"/>
  <c r="A295" i="2"/>
  <c r="T294" i="2"/>
  <c r="S294" i="2"/>
  <c r="A294" i="2"/>
  <c r="T293" i="2"/>
  <c r="S293" i="2"/>
  <c r="A293" i="2"/>
  <c r="T292" i="2"/>
  <c r="S292" i="2"/>
  <c r="A292" i="2"/>
  <c r="T291" i="2"/>
  <c r="S291" i="2"/>
  <c r="A291" i="2"/>
  <c r="T290" i="2"/>
  <c r="S290" i="2"/>
  <c r="A290" i="2"/>
  <c r="T289" i="2"/>
  <c r="S289" i="2"/>
  <c r="A289" i="2"/>
  <c r="T288" i="2"/>
  <c r="S288" i="2"/>
  <c r="A288" i="2"/>
  <c r="T287" i="2"/>
  <c r="S287" i="2"/>
  <c r="A287" i="2"/>
  <c r="T286" i="2"/>
  <c r="S286" i="2"/>
  <c r="A286" i="2"/>
  <c r="T285" i="2"/>
  <c r="S285" i="2"/>
  <c r="A285" i="2"/>
  <c r="T284" i="2"/>
  <c r="S284" i="2"/>
  <c r="A284" i="2"/>
  <c r="T283" i="2"/>
  <c r="S283" i="2"/>
  <c r="A283" i="2"/>
  <c r="T282" i="2"/>
  <c r="S282" i="2"/>
  <c r="A282" i="2"/>
  <c r="T281" i="2"/>
  <c r="S281" i="2"/>
  <c r="A281" i="2"/>
  <c r="T280" i="2"/>
  <c r="S280" i="2"/>
  <c r="A280" i="2"/>
  <c r="T279" i="2"/>
  <c r="S279" i="2"/>
  <c r="A279" i="2"/>
  <c r="T278" i="2"/>
  <c r="S278" i="2"/>
  <c r="A278" i="2"/>
  <c r="T277" i="2"/>
  <c r="S277" i="2"/>
  <c r="A277" i="2"/>
  <c r="T276" i="2"/>
  <c r="S276" i="2"/>
  <c r="A276" i="2"/>
  <c r="T275" i="2"/>
  <c r="S275" i="2"/>
  <c r="A275" i="2"/>
  <c r="T274" i="2"/>
  <c r="S274" i="2"/>
  <c r="A274" i="2"/>
  <c r="T273" i="2"/>
  <c r="S273" i="2"/>
  <c r="A273" i="2"/>
  <c r="T272" i="2"/>
  <c r="S272" i="2"/>
  <c r="A272" i="2"/>
  <c r="T271" i="2"/>
  <c r="S271" i="2"/>
  <c r="A271" i="2"/>
  <c r="T270" i="2"/>
  <c r="S270" i="2"/>
  <c r="A270" i="2"/>
  <c r="T269" i="2"/>
  <c r="S269" i="2"/>
  <c r="A269" i="2"/>
  <c r="T268" i="2"/>
  <c r="S268" i="2"/>
  <c r="A268" i="2"/>
  <c r="T267" i="2"/>
  <c r="S267" i="2"/>
  <c r="A267" i="2"/>
  <c r="T266" i="2"/>
  <c r="S266" i="2"/>
  <c r="A266" i="2"/>
  <c r="T265" i="2"/>
  <c r="S265" i="2"/>
  <c r="A265" i="2"/>
  <c r="T264" i="2"/>
  <c r="S264" i="2"/>
  <c r="A264" i="2"/>
  <c r="T263" i="2"/>
  <c r="S263" i="2"/>
  <c r="A263" i="2"/>
  <c r="T262" i="2"/>
  <c r="S262" i="2"/>
  <c r="A262" i="2"/>
  <c r="T261" i="2"/>
  <c r="S261" i="2"/>
  <c r="A261" i="2"/>
  <c r="T260" i="2"/>
  <c r="S260" i="2"/>
  <c r="A260" i="2"/>
  <c r="T259" i="2"/>
  <c r="S259" i="2"/>
  <c r="A259" i="2"/>
  <c r="T258" i="2"/>
  <c r="S258" i="2"/>
  <c r="A258" i="2"/>
  <c r="T257" i="2"/>
  <c r="S257" i="2"/>
  <c r="A257" i="2"/>
  <c r="T256" i="2"/>
  <c r="S256" i="2"/>
  <c r="A256" i="2"/>
  <c r="T255" i="2"/>
  <c r="S255" i="2"/>
  <c r="A255" i="2"/>
  <c r="T254" i="2"/>
  <c r="S254" i="2"/>
  <c r="A254" i="2"/>
  <c r="T253" i="2"/>
  <c r="S253" i="2"/>
  <c r="A253" i="2"/>
  <c r="T252" i="2"/>
  <c r="S252" i="2"/>
  <c r="A252" i="2"/>
  <c r="T251" i="2"/>
  <c r="S251" i="2"/>
  <c r="A251" i="2"/>
  <c r="T250" i="2"/>
  <c r="S250" i="2"/>
  <c r="A250" i="2"/>
  <c r="T249" i="2"/>
  <c r="S249" i="2"/>
  <c r="A249" i="2"/>
  <c r="T248" i="2"/>
  <c r="S248" i="2"/>
  <c r="A248" i="2"/>
  <c r="T247" i="2"/>
  <c r="S247" i="2"/>
  <c r="A247" i="2"/>
  <c r="T246" i="2"/>
  <c r="S246" i="2"/>
  <c r="A246" i="2"/>
  <c r="T245" i="2"/>
  <c r="S245" i="2"/>
  <c r="A245" i="2"/>
  <c r="T244" i="2"/>
  <c r="S244" i="2"/>
  <c r="A244" i="2"/>
  <c r="T243" i="2"/>
  <c r="S243" i="2"/>
  <c r="A243" i="2"/>
  <c r="T242" i="2"/>
  <c r="S242" i="2"/>
  <c r="A242" i="2"/>
  <c r="T241" i="2"/>
  <c r="S241" i="2"/>
  <c r="A241" i="2"/>
  <c r="T240" i="2"/>
  <c r="S240" i="2"/>
  <c r="A240" i="2"/>
  <c r="T239" i="2"/>
  <c r="S239" i="2"/>
  <c r="A239" i="2"/>
  <c r="T238" i="2"/>
  <c r="S238" i="2"/>
  <c r="A238" i="2"/>
  <c r="T237" i="2"/>
  <c r="S237" i="2"/>
  <c r="A237" i="2"/>
  <c r="T236" i="2"/>
  <c r="S236" i="2"/>
  <c r="A236" i="2"/>
  <c r="T235" i="2"/>
  <c r="S235" i="2"/>
  <c r="A235" i="2"/>
  <c r="T234" i="2"/>
  <c r="S234" i="2"/>
  <c r="A234" i="2"/>
  <c r="T233" i="2"/>
  <c r="S233" i="2"/>
  <c r="A233" i="2"/>
  <c r="T232" i="2"/>
  <c r="S232" i="2"/>
  <c r="A232" i="2"/>
  <c r="T231" i="2"/>
  <c r="S231" i="2"/>
  <c r="A231" i="2"/>
  <c r="T230" i="2"/>
  <c r="S230" i="2"/>
  <c r="A230" i="2"/>
  <c r="T229" i="2"/>
  <c r="S229" i="2"/>
  <c r="A229" i="2"/>
  <c r="T228" i="2"/>
  <c r="S228" i="2"/>
  <c r="A228" i="2"/>
  <c r="T227" i="2"/>
  <c r="S227" i="2"/>
  <c r="A227" i="2"/>
  <c r="T226" i="2"/>
  <c r="S226" i="2"/>
  <c r="A226" i="2"/>
  <c r="T225" i="2"/>
  <c r="S225" i="2"/>
  <c r="A225" i="2"/>
  <c r="T224" i="2"/>
  <c r="S224" i="2"/>
  <c r="A224" i="2"/>
  <c r="T223" i="2"/>
  <c r="S223" i="2"/>
  <c r="A223" i="2"/>
  <c r="T222" i="2"/>
  <c r="S222" i="2"/>
  <c r="A222" i="2"/>
  <c r="T221" i="2"/>
  <c r="S221" i="2"/>
  <c r="A221" i="2"/>
  <c r="T220" i="2"/>
  <c r="S220" i="2"/>
  <c r="A220" i="2"/>
  <c r="T219" i="2"/>
  <c r="S219" i="2"/>
  <c r="A219" i="2"/>
  <c r="T218" i="2"/>
  <c r="S218" i="2"/>
  <c r="A218" i="2"/>
  <c r="T217" i="2"/>
  <c r="S217" i="2"/>
  <c r="A217" i="2"/>
  <c r="T216" i="2"/>
  <c r="S216" i="2"/>
  <c r="A216" i="2"/>
  <c r="T215" i="2"/>
  <c r="S215" i="2"/>
  <c r="A215" i="2"/>
  <c r="T214" i="2"/>
  <c r="S214" i="2"/>
  <c r="A214" i="2"/>
  <c r="T213" i="2"/>
  <c r="S213" i="2"/>
  <c r="A213" i="2"/>
  <c r="T212" i="2"/>
  <c r="S212" i="2"/>
  <c r="A212" i="2"/>
  <c r="T211" i="2"/>
  <c r="S211" i="2"/>
  <c r="A211" i="2"/>
  <c r="T210" i="2"/>
  <c r="S210" i="2"/>
  <c r="A210" i="2"/>
  <c r="T209" i="2"/>
  <c r="S209" i="2"/>
  <c r="A209" i="2"/>
  <c r="T208" i="2"/>
  <c r="S208" i="2"/>
  <c r="A208" i="2"/>
  <c r="T207" i="2"/>
  <c r="S207" i="2"/>
  <c r="A207" i="2"/>
  <c r="T206" i="2"/>
  <c r="S206" i="2"/>
  <c r="A206" i="2"/>
  <c r="T205" i="2"/>
  <c r="S205" i="2"/>
  <c r="A205" i="2"/>
  <c r="T204" i="2"/>
  <c r="S204" i="2"/>
  <c r="A204" i="2"/>
  <c r="T203" i="2"/>
  <c r="S203" i="2"/>
  <c r="A203" i="2"/>
  <c r="T202" i="2"/>
  <c r="S202" i="2"/>
  <c r="A202" i="2"/>
  <c r="T201" i="2"/>
  <c r="S201" i="2"/>
  <c r="A201" i="2"/>
  <c r="T200" i="2"/>
  <c r="S200" i="2"/>
  <c r="A200" i="2"/>
  <c r="T199" i="2"/>
  <c r="S199" i="2"/>
  <c r="A199" i="2"/>
  <c r="T198" i="2"/>
  <c r="S198" i="2"/>
  <c r="A198" i="2"/>
  <c r="T197" i="2"/>
  <c r="S197" i="2"/>
  <c r="A197" i="2"/>
  <c r="T196" i="2"/>
  <c r="S196" i="2"/>
  <c r="A196" i="2"/>
  <c r="T195" i="2"/>
  <c r="S195" i="2"/>
  <c r="A195" i="2"/>
  <c r="T194" i="2"/>
  <c r="S194" i="2"/>
  <c r="A194" i="2"/>
  <c r="T193" i="2"/>
  <c r="S193" i="2"/>
  <c r="A193" i="2"/>
  <c r="T192" i="2"/>
  <c r="S192" i="2"/>
  <c r="A192" i="2"/>
  <c r="T191" i="2"/>
  <c r="S191" i="2"/>
  <c r="A191" i="2"/>
  <c r="T190" i="2"/>
  <c r="S190" i="2"/>
  <c r="A190" i="2"/>
  <c r="T189" i="2"/>
  <c r="S189" i="2"/>
  <c r="A189" i="2"/>
  <c r="T188" i="2"/>
  <c r="S188" i="2"/>
  <c r="A188" i="2"/>
  <c r="T187" i="2"/>
  <c r="S187" i="2"/>
  <c r="A187" i="2"/>
  <c r="T186" i="2"/>
  <c r="S186" i="2"/>
  <c r="A186" i="2"/>
  <c r="T185" i="2"/>
  <c r="S185" i="2"/>
  <c r="A185" i="2"/>
  <c r="T184" i="2"/>
  <c r="S184" i="2"/>
  <c r="A184" i="2"/>
  <c r="T183" i="2"/>
  <c r="S183" i="2"/>
  <c r="A183" i="2"/>
  <c r="T182" i="2"/>
  <c r="S182" i="2"/>
  <c r="A182" i="2"/>
  <c r="T181" i="2"/>
  <c r="S181" i="2"/>
  <c r="A181" i="2"/>
  <c r="T180" i="2"/>
  <c r="S180" i="2"/>
  <c r="A180" i="2"/>
  <c r="T179" i="2"/>
  <c r="S179" i="2"/>
  <c r="A179" i="2"/>
  <c r="T178" i="2"/>
  <c r="S178" i="2"/>
  <c r="A178" i="2"/>
  <c r="T177" i="2"/>
  <c r="S177" i="2"/>
  <c r="A177" i="2"/>
  <c r="T176" i="2"/>
  <c r="S176" i="2"/>
  <c r="A176" i="2"/>
  <c r="T175" i="2"/>
  <c r="S175" i="2"/>
  <c r="A175" i="2"/>
  <c r="T174" i="2"/>
  <c r="S174" i="2"/>
  <c r="A174" i="2"/>
  <c r="T173" i="2"/>
  <c r="S173" i="2"/>
  <c r="A173" i="2"/>
  <c r="T172" i="2"/>
  <c r="S172" i="2"/>
  <c r="A172" i="2"/>
  <c r="T171" i="2"/>
  <c r="S171" i="2"/>
  <c r="A171" i="2"/>
  <c r="T170" i="2"/>
  <c r="S170" i="2"/>
  <c r="A170" i="2"/>
  <c r="T169" i="2"/>
  <c r="S169" i="2"/>
  <c r="A169" i="2"/>
  <c r="T168" i="2"/>
  <c r="S168" i="2"/>
  <c r="A168" i="2"/>
  <c r="T167" i="2"/>
  <c r="S167" i="2"/>
  <c r="A167" i="2"/>
  <c r="T166" i="2"/>
  <c r="S166" i="2"/>
  <c r="A166" i="2"/>
  <c r="T165" i="2"/>
  <c r="S165" i="2"/>
  <c r="A165" i="2"/>
  <c r="T164" i="2"/>
  <c r="S164" i="2"/>
  <c r="A164" i="2"/>
  <c r="T163" i="2"/>
  <c r="S163" i="2"/>
  <c r="A163" i="2"/>
  <c r="T162" i="2"/>
  <c r="S162" i="2"/>
  <c r="A162" i="2"/>
  <c r="T161" i="2"/>
  <c r="S161" i="2"/>
  <c r="A161" i="2"/>
  <c r="T160" i="2"/>
  <c r="S160" i="2"/>
  <c r="A160" i="2"/>
  <c r="T159" i="2"/>
  <c r="S159" i="2"/>
  <c r="A159" i="2"/>
  <c r="T158" i="2"/>
  <c r="S158" i="2"/>
  <c r="A158" i="2"/>
  <c r="T157" i="2"/>
  <c r="S157" i="2"/>
  <c r="A157" i="2"/>
  <c r="T156" i="2"/>
  <c r="S156" i="2"/>
  <c r="A156" i="2"/>
  <c r="T155" i="2"/>
  <c r="S155" i="2"/>
  <c r="A155" i="2"/>
  <c r="T154" i="2"/>
  <c r="S154" i="2"/>
  <c r="A154" i="2"/>
  <c r="T153" i="2"/>
  <c r="S153" i="2"/>
  <c r="A153" i="2"/>
  <c r="T152" i="2"/>
  <c r="S152" i="2"/>
  <c r="A152" i="2"/>
  <c r="T151" i="2"/>
  <c r="S151" i="2"/>
  <c r="A151" i="2"/>
  <c r="T150" i="2"/>
  <c r="S150" i="2"/>
  <c r="A150" i="2"/>
  <c r="T149" i="2"/>
  <c r="S149" i="2"/>
  <c r="A149" i="2"/>
  <c r="T148" i="2"/>
  <c r="S148" i="2"/>
  <c r="A148" i="2"/>
  <c r="T147" i="2"/>
  <c r="S147" i="2"/>
  <c r="A147" i="2"/>
  <c r="T146" i="2"/>
  <c r="S146" i="2"/>
  <c r="A146" i="2"/>
  <c r="T145" i="2"/>
  <c r="S145" i="2"/>
  <c r="A145" i="2"/>
  <c r="T144" i="2"/>
  <c r="S144" i="2"/>
  <c r="A144" i="2"/>
  <c r="T143" i="2"/>
  <c r="S143" i="2"/>
  <c r="A143" i="2"/>
  <c r="T142" i="2"/>
  <c r="S142" i="2"/>
  <c r="A142" i="2"/>
  <c r="T141" i="2"/>
  <c r="S141" i="2"/>
  <c r="A141" i="2"/>
  <c r="T140" i="2"/>
  <c r="S140" i="2"/>
  <c r="A140" i="2"/>
  <c r="T139" i="2"/>
  <c r="S139" i="2"/>
  <c r="A139" i="2"/>
  <c r="T138" i="2"/>
  <c r="S138" i="2"/>
  <c r="A138" i="2"/>
  <c r="T137" i="2"/>
  <c r="S137" i="2"/>
  <c r="A137" i="2"/>
  <c r="T136" i="2"/>
  <c r="S136" i="2"/>
  <c r="A136" i="2"/>
  <c r="T135" i="2"/>
  <c r="S135" i="2"/>
  <c r="A135" i="2"/>
  <c r="T134" i="2"/>
  <c r="S134" i="2"/>
  <c r="A134" i="2"/>
  <c r="T133" i="2"/>
  <c r="S133" i="2"/>
  <c r="A133" i="2"/>
  <c r="T132" i="2"/>
  <c r="S132" i="2"/>
  <c r="A132" i="2"/>
  <c r="T131" i="2"/>
  <c r="S131" i="2"/>
  <c r="A131" i="2"/>
  <c r="T130" i="2"/>
  <c r="S130" i="2"/>
  <c r="A130" i="2"/>
  <c r="T129" i="2"/>
  <c r="S129" i="2"/>
  <c r="A129" i="2"/>
  <c r="T128" i="2"/>
  <c r="S128" i="2"/>
  <c r="A128" i="2"/>
  <c r="T127" i="2"/>
  <c r="S127" i="2"/>
  <c r="A127" i="2"/>
  <c r="T126" i="2"/>
  <c r="S126" i="2"/>
  <c r="A126" i="2"/>
  <c r="T125" i="2"/>
  <c r="S125" i="2"/>
  <c r="A125" i="2"/>
  <c r="T124" i="2"/>
  <c r="S124" i="2"/>
  <c r="A124" i="2"/>
  <c r="T123" i="2"/>
  <c r="S123" i="2"/>
  <c r="A123" i="2"/>
  <c r="T122" i="2"/>
  <c r="S122" i="2"/>
  <c r="A122" i="2"/>
  <c r="T121" i="2"/>
  <c r="S121" i="2"/>
  <c r="A121" i="2"/>
  <c r="T120" i="2"/>
  <c r="S120" i="2"/>
  <c r="A120" i="2"/>
  <c r="T119" i="2"/>
  <c r="S119" i="2"/>
  <c r="A119" i="2"/>
  <c r="T118" i="2"/>
  <c r="S118" i="2"/>
  <c r="A118" i="2"/>
  <c r="T117" i="2"/>
  <c r="S117" i="2"/>
  <c r="A117" i="2"/>
  <c r="T116" i="2"/>
  <c r="S116" i="2"/>
  <c r="A116" i="2"/>
  <c r="T115" i="2"/>
  <c r="S115" i="2"/>
  <c r="A115" i="2"/>
  <c r="T114" i="2"/>
  <c r="S114" i="2"/>
  <c r="A114" i="2"/>
  <c r="T113" i="2"/>
  <c r="S113" i="2"/>
  <c r="A113" i="2"/>
  <c r="T112" i="2"/>
  <c r="S112" i="2"/>
  <c r="A112" i="2"/>
  <c r="T111" i="2"/>
  <c r="S111" i="2"/>
  <c r="A111" i="2"/>
  <c r="T110" i="2"/>
  <c r="S110" i="2"/>
  <c r="A110" i="2"/>
  <c r="T109" i="2"/>
  <c r="S109" i="2"/>
  <c r="A109" i="2"/>
  <c r="T108" i="2"/>
  <c r="S108" i="2"/>
  <c r="A108" i="2"/>
  <c r="T107" i="2"/>
  <c r="S107" i="2"/>
  <c r="A107" i="2"/>
  <c r="T106" i="2"/>
  <c r="S106" i="2"/>
  <c r="A106" i="2"/>
  <c r="T105" i="2"/>
  <c r="S105" i="2"/>
  <c r="A105" i="2"/>
  <c r="T104" i="2"/>
  <c r="S104" i="2"/>
  <c r="A104" i="2"/>
  <c r="T103" i="2"/>
  <c r="S103" i="2"/>
  <c r="A103" i="2"/>
  <c r="T102" i="2"/>
  <c r="S102" i="2"/>
  <c r="A102" i="2"/>
  <c r="T101" i="2"/>
  <c r="S101" i="2"/>
  <c r="A101" i="2"/>
  <c r="T100" i="2"/>
  <c r="S100" i="2"/>
  <c r="A100" i="2"/>
  <c r="T99" i="2"/>
  <c r="S99" i="2"/>
  <c r="A99" i="2"/>
  <c r="T98" i="2"/>
  <c r="S98" i="2"/>
  <c r="A98" i="2"/>
  <c r="T97" i="2"/>
  <c r="S97" i="2"/>
  <c r="A97" i="2"/>
  <c r="T96" i="2"/>
  <c r="S96" i="2"/>
  <c r="A96" i="2"/>
  <c r="T95" i="2"/>
  <c r="S95" i="2"/>
  <c r="A95" i="2"/>
  <c r="T94" i="2"/>
  <c r="S94" i="2"/>
  <c r="A94" i="2"/>
  <c r="T93" i="2"/>
  <c r="S93" i="2"/>
  <c r="A93" i="2"/>
  <c r="T92" i="2"/>
  <c r="S92" i="2"/>
  <c r="A92" i="2"/>
  <c r="T91" i="2"/>
  <c r="S91" i="2"/>
  <c r="A91" i="2"/>
  <c r="T90" i="2"/>
  <c r="S90" i="2"/>
  <c r="A90" i="2"/>
  <c r="T89" i="2"/>
  <c r="S89" i="2"/>
  <c r="A89" i="2"/>
  <c r="T88" i="2"/>
  <c r="S88" i="2"/>
  <c r="A88" i="2"/>
  <c r="T87" i="2"/>
  <c r="S87" i="2"/>
  <c r="A87" i="2"/>
  <c r="T86" i="2"/>
  <c r="S86" i="2"/>
  <c r="A86" i="2"/>
  <c r="T85" i="2"/>
  <c r="S85" i="2"/>
  <c r="A85" i="2"/>
  <c r="T84" i="2"/>
  <c r="S84" i="2"/>
  <c r="A84" i="2"/>
  <c r="T83" i="2"/>
  <c r="S83" i="2"/>
  <c r="A83" i="2"/>
  <c r="T82" i="2"/>
  <c r="S82" i="2"/>
  <c r="A82" i="2"/>
  <c r="T81" i="2"/>
  <c r="S81" i="2"/>
  <c r="A81" i="2"/>
  <c r="T80" i="2"/>
  <c r="S80" i="2"/>
  <c r="A80" i="2"/>
  <c r="T79" i="2"/>
  <c r="S79" i="2"/>
  <c r="A79" i="2"/>
  <c r="T78" i="2"/>
  <c r="S78" i="2"/>
  <c r="A78" i="2"/>
  <c r="T77" i="2"/>
  <c r="S77" i="2"/>
  <c r="A77" i="2"/>
  <c r="T76" i="2"/>
  <c r="S76" i="2"/>
  <c r="A76" i="2"/>
  <c r="T75" i="2"/>
  <c r="S75" i="2"/>
  <c r="A75" i="2"/>
  <c r="T74" i="2"/>
  <c r="S74" i="2"/>
  <c r="A74" i="2"/>
  <c r="T73" i="2"/>
  <c r="S73" i="2"/>
  <c r="A73" i="2"/>
  <c r="T72" i="2"/>
  <c r="S72" i="2"/>
  <c r="A72" i="2"/>
  <c r="T71" i="2"/>
  <c r="S71" i="2"/>
  <c r="A71" i="2"/>
  <c r="T70" i="2"/>
  <c r="S70" i="2"/>
  <c r="A70" i="2"/>
  <c r="T69" i="2"/>
  <c r="S69" i="2"/>
  <c r="A69" i="2"/>
  <c r="T68" i="2"/>
  <c r="S68" i="2"/>
  <c r="A68" i="2"/>
  <c r="T67" i="2"/>
  <c r="S67" i="2"/>
  <c r="A67" i="2"/>
  <c r="T66" i="2"/>
  <c r="S66" i="2"/>
  <c r="A66" i="2"/>
  <c r="T65" i="2"/>
  <c r="S65" i="2"/>
  <c r="A65" i="2"/>
  <c r="T64" i="2"/>
  <c r="S64" i="2"/>
  <c r="A64" i="2"/>
  <c r="T63" i="2"/>
  <c r="S63" i="2"/>
  <c r="A63" i="2"/>
  <c r="T62" i="2"/>
  <c r="S62" i="2"/>
  <c r="A62" i="2"/>
  <c r="T61" i="2"/>
  <c r="S61" i="2"/>
  <c r="A61" i="2"/>
  <c r="T60" i="2"/>
  <c r="S60" i="2"/>
  <c r="A60" i="2"/>
  <c r="T59" i="2"/>
  <c r="S59" i="2"/>
  <c r="A59" i="2"/>
  <c r="T58" i="2"/>
  <c r="S58" i="2"/>
  <c r="A58" i="2"/>
  <c r="T57" i="2"/>
  <c r="S57" i="2"/>
  <c r="A57" i="2"/>
  <c r="T56" i="2"/>
  <c r="S56" i="2"/>
  <c r="A56" i="2"/>
  <c r="T55" i="2"/>
  <c r="S55" i="2"/>
  <c r="A55" i="2"/>
  <c r="T54" i="2"/>
  <c r="S54" i="2"/>
  <c r="A54" i="2"/>
  <c r="T53" i="2"/>
  <c r="S53" i="2"/>
  <c r="A53" i="2"/>
  <c r="T52" i="2"/>
  <c r="S52" i="2"/>
  <c r="A52" i="2"/>
  <c r="T51" i="2"/>
  <c r="S51" i="2"/>
  <c r="A51" i="2"/>
  <c r="T50" i="2"/>
  <c r="S50" i="2"/>
  <c r="A50" i="2"/>
  <c r="T49" i="2"/>
  <c r="S49" i="2"/>
  <c r="A49" i="2"/>
  <c r="T48" i="2"/>
  <c r="S48" i="2"/>
  <c r="A48" i="2"/>
  <c r="T47" i="2"/>
  <c r="S47" i="2"/>
  <c r="A47" i="2"/>
  <c r="T46" i="2"/>
  <c r="S46" i="2"/>
  <c r="A46" i="2"/>
  <c r="T45" i="2"/>
  <c r="S45" i="2"/>
  <c r="A45" i="2"/>
  <c r="T44" i="2"/>
  <c r="S44" i="2"/>
  <c r="A44" i="2"/>
  <c r="T43" i="2"/>
  <c r="S43" i="2"/>
  <c r="A43" i="2"/>
  <c r="T42" i="2"/>
  <c r="S42" i="2"/>
  <c r="A42" i="2"/>
  <c r="T41" i="2"/>
  <c r="S41" i="2"/>
  <c r="A41" i="2"/>
  <c r="T40" i="2"/>
  <c r="S40" i="2"/>
  <c r="A40" i="2"/>
  <c r="T39" i="2"/>
  <c r="S39" i="2"/>
  <c r="A39" i="2"/>
  <c r="T38" i="2"/>
  <c r="S38" i="2"/>
  <c r="A38" i="2"/>
  <c r="T37" i="2"/>
  <c r="S37" i="2"/>
  <c r="A37" i="2"/>
  <c r="T36" i="2"/>
  <c r="S36" i="2"/>
  <c r="A36" i="2"/>
  <c r="T35" i="2"/>
  <c r="S35" i="2"/>
  <c r="A35" i="2"/>
  <c r="T34" i="2"/>
  <c r="S34" i="2"/>
  <c r="A34" i="2"/>
  <c r="T33" i="2"/>
  <c r="S33" i="2"/>
  <c r="A33" i="2"/>
  <c r="T32" i="2"/>
  <c r="S32" i="2"/>
  <c r="A32" i="2"/>
  <c r="T31" i="2"/>
  <c r="S31" i="2"/>
  <c r="A31" i="2"/>
  <c r="T30" i="2"/>
  <c r="S30" i="2"/>
  <c r="A30" i="2"/>
  <c r="T29" i="2"/>
  <c r="S29" i="2"/>
  <c r="A29" i="2"/>
  <c r="T28" i="2"/>
  <c r="S28" i="2"/>
  <c r="A28" i="2"/>
  <c r="T27" i="2"/>
  <c r="S27" i="2"/>
  <c r="A27" i="2"/>
  <c r="T26" i="2"/>
  <c r="S26" i="2"/>
  <c r="A26" i="2"/>
  <c r="T25" i="2"/>
  <c r="S25" i="2"/>
  <c r="A25" i="2"/>
  <c r="T24" i="2"/>
  <c r="S24" i="2"/>
  <c r="A24" i="2"/>
  <c r="S23" i="2"/>
  <c r="T23" i="2" s="1"/>
  <c r="A23" i="2"/>
  <c r="S22" i="2"/>
  <c r="T22" i="2" s="1"/>
  <c r="A22" i="2"/>
  <c r="S21" i="2"/>
  <c r="T21" i="2" s="1"/>
  <c r="A21" i="2"/>
  <c r="S20" i="2"/>
  <c r="T20" i="2" s="1"/>
  <c r="A20" i="2"/>
  <c r="S19" i="2"/>
  <c r="T19" i="2" s="1"/>
  <c r="A19" i="2"/>
  <c r="S18" i="2"/>
  <c r="T18" i="2" s="1"/>
  <c r="A18" i="2"/>
  <c r="S17" i="2"/>
  <c r="T17" i="2" s="1"/>
  <c r="J9" i="3" s="1"/>
  <c r="A17" i="2"/>
  <c r="S16" i="2"/>
  <c r="T16" i="2" s="1"/>
  <c r="A16" i="2"/>
  <c r="S15" i="2"/>
  <c r="T15" i="2" s="1"/>
  <c r="A15" i="2"/>
  <c r="S14" i="2"/>
  <c r="T14" i="2" s="1"/>
  <c r="A14" i="2"/>
  <c r="S13" i="2"/>
  <c r="T13" i="2" s="1"/>
  <c r="J7" i="3" s="1"/>
  <c r="A13" i="2"/>
  <c r="S12" i="2"/>
  <c r="T12" i="2" s="1"/>
  <c r="A12" i="2"/>
  <c r="S11" i="2"/>
  <c r="T11" i="2" s="1"/>
  <c r="A11" i="2"/>
  <c r="S10" i="2"/>
  <c r="T10" i="2" s="1"/>
  <c r="A10" i="2"/>
  <c r="S9" i="2"/>
  <c r="T9" i="2" s="1"/>
  <c r="A9" i="2"/>
  <c r="S8" i="2"/>
  <c r="T8" i="2" s="1"/>
  <c r="A8" i="2"/>
  <c r="S7" i="2"/>
  <c r="T7" i="2" s="1"/>
  <c r="A7" i="2"/>
  <c r="S6" i="2"/>
  <c r="T6" i="2" s="1"/>
  <c r="A6" i="2"/>
  <c r="S5" i="2"/>
  <c r="T5" i="2" s="1"/>
  <c r="A5" i="2"/>
  <c r="B7" i="5" l="1"/>
  <c r="J5" i="3"/>
  <c r="B6" i="5"/>
  <c r="B8" i="5"/>
  <c r="J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Endustry</author>
  </authors>
  <commentList>
    <comment ref="S4" authorId="0" shapeId="0" xr:uid="{00000000-0006-0000-0100-000001000000}">
      <text>
        <r>
          <rPr>
            <sz val="11"/>
            <color theme="1"/>
            <rFont val="Calibri"/>
            <family val="2"/>
            <scheme val="minor"/>
          </rPr>
          <t>Industry (max 40) + MSME category (max 20) + current system (max 20) + buying intent (max 20). Points are on the Lists sheet.</t>
        </r>
      </text>
    </comment>
    <comment ref="T4" authorId="0" shapeId="0" xr:uid="{00000000-0006-0000-0100-000002000000}">
      <text>
        <r>
          <rPr>
            <sz val="11"/>
            <color theme="1"/>
            <rFont val="Calibri"/>
            <family val="2"/>
            <scheme val="minor"/>
          </rPr>
          <t>Hot = score 75 or more and actively looking. Warm = score 55 or more. Otherwise Cold.</t>
        </r>
      </text>
    </comment>
    <comment ref="V4" authorId="0" shapeId="0" xr:uid="{00000000-0006-0000-0100-000003000000}">
      <text>
        <r>
          <rPr>
            <sz val="11"/>
            <color theme="1"/>
            <rFont val="Calibri"/>
            <family val="2"/>
            <scheme val="minor"/>
          </rPr>
          <t>Turns red when the date has passed and the lead is still open.</t>
        </r>
      </text>
    </comment>
  </commentList>
</comments>
</file>

<file path=xl/sharedStrings.xml><?xml version="1.0" encoding="utf-8"?>
<sst xmlns="http://schemas.openxmlformats.org/spreadsheetml/2006/main" count="579" uniqueCount="329">
  <si>
    <t>Endustry ERP: sales leads</t>
  </si>
  <si>
    <t>One row per prospect. Type in the yellow columns; Fit score and Priority are worked out for you. The first rows are researched companies; add new leads below them.</t>
  </si>
  <si>
    <t>Lead ID</t>
  </si>
  <si>
    <t>Date added</t>
  </si>
  <si>
    <t>Company</t>
  </si>
  <si>
    <t>Contact person</t>
  </si>
  <si>
    <t>Designation</t>
  </si>
  <si>
    <t>Phone</t>
  </si>
  <si>
    <t>Email</t>
  </si>
  <si>
    <t>City</t>
  </si>
  <si>
    <t>State</t>
  </si>
  <si>
    <t>Industry</t>
  </si>
  <si>
    <t>MSME category</t>
  </si>
  <si>
    <t>Employees</t>
  </si>
  <si>
    <t>Current system</t>
  </si>
  <si>
    <t>Main pain point</t>
  </si>
  <si>
    <t>Modules of interest</t>
  </si>
  <si>
    <t>Actively looking?</t>
  </si>
  <si>
    <t>Lead source</t>
  </si>
  <si>
    <t>Stage</t>
  </si>
  <si>
    <t>Fit score (0-100)</t>
  </si>
  <si>
    <t>Priority</t>
  </si>
  <si>
    <t>Next action</t>
  </si>
  <si>
    <t>Next follow-up</t>
  </si>
  <si>
    <t>Owner</t>
  </si>
  <si>
    <t>Notes</t>
  </si>
  <si>
    <t>Robocon CNC Pvt. Ltd.</t>
  </si>
  <si>
    <t>+91 75758 62828</t>
  </si>
  <si>
    <t>info@roboconcnc.com</t>
  </si>
  <si>
    <t>Pune (Katraj)</t>
  </si>
  <si>
    <t>Maharashtra</t>
  </si>
  <si>
    <t>Engineering, fabrication and machining</t>
  </si>
  <si>
    <t>Not known</t>
  </si>
  <si>
    <t>Not asked yet</t>
  </si>
  <si>
    <t>Own research (company website)</t>
  </si>
  <si>
    <t>New</t>
  </si>
  <si>
    <t>First call: introduce, ask the five qualifying questions</t>
  </si>
  <si>
    <t>Mohit</t>
  </si>
  <si>
    <t>Precision CNC machined parts; ISO 9001:2015. Contact details read from the company website on 09-10-2026. Source: https://roboconcnc.com/</t>
  </si>
  <si>
    <t>Trimurti Enterprises</t>
  </si>
  <si>
    <t>+91 91122 19222</t>
  </si>
  <si>
    <t>enq@trimurti-enterprises.com</t>
  </si>
  <si>
    <t>Pune (Bhosari MIDC)</t>
  </si>
  <si>
    <t>CNC machined parts, gears and gearboxes. Contact details read from the company website on 09-10-2026. Source: https://www.trimurti-enterprises.com/cnc-machined-parts-components.php</t>
  </si>
  <si>
    <t>Sahyadri Industries</t>
  </si>
  <si>
    <t>+91 98506 26307</t>
  </si>
  <si>
    <t>info@sahyadriindustries.co.in</t>
  </si>
  <si>
    <t>Pune (Chinchwad, Chakan)</t>
  </si>
  <si>
    <t>Sheet metal fabrication, pressed and machined components; ISO 9001:2015; two factory units. Contact details read from the company website on 09-10-2026. Source: https://www.sahyadriindustries.co.in/</t>
  </si>
  <si>
    <t>Technomech</t>
  </si>
  <si>
    <t>+91 99229 91642</t>
  </si>
  <si>
    <t>Pune (Hadapsar)</t>
  </si>
  <si>
    <t>Sheet metal pressed components, fabricated sub-assemblies, shafts; ISO 9001:2015. No email published, website has an enquiry form. Contact details read from the company website on 09-10-2026. Source: https://www.technomechpune.com/</t>
  </si>
  <si>
    <t>Primeline Components Pvt Ltd</t>
  </si>
  <si>
    <t>+91 91303 03006</t>
  </si>
  <si>
    <t>sales@primelinecomponents.in</t>
  </si>
  <si>
    <t>Pune</t>
  </si>
  <si>
    <t>CNC and VMC machined components, plastic moulding; set up in 2025, part of Abhang Group. Contact details read from the company website on 09-10-2026. Source: https://www.primelinecomponents.com/about-us</t>
  </si>
  <si>
    <t>Raj Tools &amp; Stamping Pvt. Ltd.</t>
  </si>
  <si>
    <t>+91 84080 00812</t>
  </si>
  <si>
    <t>marketing@rajtools.co.in</t>
  </si>
  <si>
    <t>Pune (Chikhali)</t>
  </si>
  <si>
    <t>Auto components (Tier 2 / Tier 3)</t>
  </si>
  <si>
    <t>Sheet metal press tools and stamped parts; ISO 9001:2015; started 2012. Contact details read from the company website on 09-10-2026. Source: https://www.rajtools.co.in/</t>
  </si>
  <si>
    <t>Datsons Engineering Works Pvt. Ltd.</t>
  </si>
  <si>
    <t>+91 90110 97737</t>
  </si>
  <si>
    <t>Pune (Bhosari, Chakan)</t>
  </si>
  <si>
    <t>Sheet metal press parts for auto and non-auto; est. 1983; two units. Sales number shown; no email published, website has an enquiry form. Contact details read from the company website on 09-10-2026. Source: https://www.datsonsengg.com/index.html</t>
  </si>
  <si>
    <t>Devchhaya Group Of Industries</t>
  </si>
  <si>
    <t>+91 93729 65739</t>
  </si>
  <si>
    <t>enquiry@devchhayagroup.in</t>
  </si>
  <si>
    <t>Pune (Chakan)</t>
  </si>
  <si>
    <t>Automotive sheet metal components and assemblies. Site states 440+ employees across three units, so likely above our target size. Contact details read from the company website on 09-10-2026. Source: https://www.devchhayagroup.in/sheet-metal-automotive-components-assemblies.php</t>
  </si>
  <si>
    <t>Perfect Auto Plast</t>
  </si>
  <si>
    <t>+91 98902 56650</t>
  </si>
  <si>
    <t>perfectautoplast@gmail.com</t>
  </si>
  <si>
    <t>Plastics, moulding and packaging</t>
  </si>
  <si>
    <t>Plastic injection moulded parts, insert moulding, fuel strainers; ISO 9001:2015. Contact details read from the company website on 09-10-2026. Source: https://www.perfectautoplast.in/plastic-injection-moulding-part-in-pune.php</t>
  </si>
  <si>
    <t>Maniar Plast</t>
  </si>
  <si>
    <t>+91 96894 91793</t>
  </si>
  <si>
    <t>info@maniarplast.com</t>
  </si>
  <si>
    <t>Pune (Koregaon Bhima)</t>
  </si>
  <si>
    <t>Injection moulded parts for automotive, medical and FMCG; ISO 9001:2015 and ISO 13485. Contact details read from the company website on 09-10-2026. Source: https://maniarplast.com/services/plastic-injection-molding/</t>
  </si>
  <si>
    <t>Aim Mouldplast Private Limited</t>
  </si>
  <si>
    <t>+91 98508 07899</t>
  </si>
  <si>
    <t>response@aimplastindia.com</t>
  </si>
  <si>
    <t>Pune (Talawade)</t>
  </si>
  <si>
    <t>Moulds and precision moulded automotive parts; est. 1996; IATF 16949. Contact details read from the company website on 09-10-2026. Source: https://www.aimplastindia.com/index.html</t>
  </si>
  <si>
    <t>Eshaan Enterprises</t>
  </si>
  <si>
    <t>+91 91365 99447</t>
  </si>
  <si>
    <t>info@eshaanentp.com</t>
  </si>
  <si>
    <t>Pune (Somatane Phata)</t>
  </si>
  <si>
    <t>Structural and heavy fabrication; ISO 9001:2015. Contact details from a search summary of the company website on 09-10-2026; website not opened, confirm before use. Source: https://www.eshaanentp.com/structural-fabrication-in-pune.php</t>
  </si>
  <si>
    <t>Shreeniwas Casttech Industries</t>
  </si>
  <si>
    <t>+91 89831 88989</t>
  </si>
  <si>
    <t>info@shreeniwascasttech.in</t>
  </si>
  <si>
    <t>Castings and forgings</t>
  </si>
  <si>
    <t>Aluminium gravity die castings, CNC machined components. Contact details from a search summary of the company website on 09-10-2026; website not opened, confirm before use. Source: https://www.shreeniwascasttech.in/</t>
  </si>
  <si>
    <t>Sahayog Founders &amp; Engineers</t>
  </si>
  <si>
    <t>020 2712 2371</t>
  </si>
  <si>
    <t>info@sahayogfounders.com</t>
  </si>
  <si>
    <t>Aluminium die casting with machining; est. 1990. Contact details from a search summary of the company website on 09-10-2026; website not opened, confirm before use. Source: http://sahayogfounders.com/</t>
  </si>
  <si>
    <t>Versatile Alucast Pvt. Ltd.</t>
  </si>
  <si>
    <t>+91 90903 04848</t>
  </si>
  <si>
    <t>marketing@versatilegroup.co.in</t>
  </si>
  <si>
    <t>Kolhapur (Shiroli MIDC)</t>
  </si>
  <si>
    <t>Aluminium castings with in-house machining. Contact details from a search summary of the company website on 09-10-2026; website not opened, confirm before use. Source: https://www.versatilegroup.co.in/aluminium-casting-foundry-kolhapur.php</t>
  </si>
  <si>
    <t>Hindustan Castings</t>
  </si>
  <si>
    <t>+91 98812 48251</t>
  </si>
  <si>
    <t>response@hindustancastings.com</t>
  </si>
  <si>
    <t>Kolhapur (Gokul Shirgaon MIDC)</t>
  </si>
  <si>
    <t>Aluminium die castings and precision components; two units. Contact details from a search summary of the company website on 09-10-2026; website not opened, confirm before use. Source: https://www.hindustancastings.com/index.html</t>
  </si>
  <si>
    <t>Samarth Foundry Services Pvt. Ltd.</t>
  </si>
  <si>
    <t>+91 99229 30789</t>
  </si>
  <si>
    <t>mktg@samarthfoundry.com</t>
  </si>
  <si>
    <t>Kolhapur (Hatkanangale)</t>
  </si>
  <si>
    <t>Machined iron castings, 100 to 500 kg; ISO 9001:2015. Contact details from a search summary of the company website on 09-10-2026; website not opened, confirm before use. Source: https://www.samarthfoundry.com/ci-casting-pune.php</t>
  </si>
  <si>
    <t>Finecast</t>
  </si>
  <si>
    <t>+91 90755 51099</t>
  </si>
  <si>
    <t>sales@finecastkop.com</t>
  </si>
  <si>
    <t>Kolhapur (Gokul Shirgaon)</t>
  </si>
  <si>
    <t>CI foundry with machine shop for automotive, hydraulic and pump castings. Contact details from a search summary of the company website on 09-10-2026; website not opened, confirm before use. Source: https://www.finecastkop.com/ci-casting-foundry.php</t>
  </si>
  <si>
    <t>Kolhapur Metals LLP</t>
  </si>
  <si>
    <t>+91 99234 57739</t>
  </si>
  <si>
    <t>marketing@kolhapurmetals.com</t>
  </si>
  <si>
    <t>Grey iron, SG iron, SiMo and ADI castings with machining. Contact details from a search summary of the company website on 09-10-2026; website not opened, confirm before use. Source: https://www.kolhapurmetals.com/</t>
  </si>
  <si>
    <t>Endustry ERP sales sheet: how to use it</t>
  </si>
  <si>
    <t>Prepared 09-10-2026</t>
  </si>
  <si>
    <t>Leads</t>
  </si>
  <si>
    <t>One row per prospect. Fill the yellow cells: company, contact, phone, email, city, industry, MSME category, current system, pain point, whether they are actively looking, source and stage. White cells (Lead ID, Fit score, Priority) are formulas; do not type in them. The first 19 rows are real companies researched on 09-10-2026; the Notes column says where each contact came from.</t>
  </si>
  <si>
    <t>Industries</t>
  </si>
  <si>
    <t>The industries that need this solution, ranked by fit, with why they need it and which modules to show them. It also counts your leads and hot leads per industry.</t>
  </si>
  <si>
    <t>Find leads</t>
  </si>
  <si>
    <t>Where to collect phone numbers and emails properly, the signals that someone is actively looking, and five qualifying questions.</t>
  </si>
  <si>
    <t>Summary</t>
  </si>
  <si>
    <t>Live counts by priority, stage, buying intent, industry and source.</t>
  </si>
  <si>
    <t>Lists</t>
  </si>
  <si>
    <t>The dropdown choices and the points behind the Fit score. Blue numbers on yellow are the inputs you can change.</t>
  </si>
  <si>
    <t>Colour key</t>
  </si>
  <si>
    <t>Yellow cell = you type here. White cell with a value = calculated. Red follow-up date = overdue. Priority: red Hot, amber Warm, blue Cold.</t>
  </si>
  <si>
    <t>Important</t>
  </si>
  <si>
    <t>The 19 researched companies are prospects by industry and location only. Nobody has spoken to them: we do not know their size, what software they use, or whether they want an ERP. Phone numbers and emails are the ones each company publishes for business enquiries; 11 were read on the company website and 8 came from a search summary and must be confirmed. Contact person names are left blank on purpose.</t>
  </si>
  <si>
    <t>Which industries need this solution</t>
  </si>
  <si>
    <t>Ranked by fit with what Endustry ERP does today. Fit (1 to 5) is our judgement from the BRD, to be checked against real customer conversations.</t>
  </si>
  <si>
    <t>Rank</t>
  </si>
  <si>
    <t>Fit (1-5)</t>
  </si>
  <si>
    <t>Typical products</t>
  </si>
  <si>
    <t>Why they need it</t>
  </si>
  <si>
    <t>Modules that matter most</t>
  </si>
  <si>
    <t>Status in our product plan</t>
  </si>
  <si>
    <t>Where they cluster (indicative)</t>
  </si>
  <si>
    <t>Leads in sheet</t>
  </si>
  <si>
    <t>Hot leads</t>
  </si>
  <si>
    <t>Machined parts, fabricated structures, jobs to drawing</t>
  </si>
  <si>
    <t>Make-to-order jobs, paper job cards, unknown cost per job, heat-number traceability, job work for plating and heat treatment</t>
  </si>
  <si>
    <t>Production, job cards, BOM and costing, inventory with batches, quality</t>
  </si>
  <si>
    <t>Phase 1 launch template</t>
  </si>
  <si>
    <t>Pune, Rajkot, Coimbatore, Ludhiana, Faridabad, Bengaluru (Peenya)</t>
  </si>
  <si>
    <t>Turned parts, pressed parts, castings, rubber and plastic parts for OEMs</t>
  </si>
  <si>
    <t>OEM delivery schedules, rejection penalties, batch traceability demanded by customers, tight margins need true costing</t>
  </si>
  <si>
    <t>Sales orders, production, quality, costing, inventory</t>
  </si>
  <si>
    <t>Pune (Chakan), Chennai, Gurugram-Manesar, Aurangabad, Hosur</t>
  </si>
  <si>
    <t>Injection moulded parts, blow moulded containers, films, cartons</t>
  </si>
  <si>
    <t>Machine-hour costing, regrind and scrap, colour and size variants, frequent small orders</t>
  </si>
  <si>
    <t>Production, BOM with scrap, inventory, sales, costing</t>
  </si>
  <si>
    <t>Daman, Vapi, Ahmedabad, Mumbai-Thane, Delhi NCR</t>
  </si>
  <si>
    <t>Food processing and formulations</t>
  </si>
  <si>
    <t>Snacks, spices, bakery, beverages, nutraceuticals</t>
  </si>
  <si>
    <t>Batch and expiry control, quality release before sale, recipe (formula) costing, FSSAI traceability</t>
  </si>
  <si>
    <t>Inventory with batches, quality, BOM, production, sales</t>
  </si>
  <si>
    <t>BRD launch template (expiry tracking not built yet)</t>
  </si>
  <si>
    <t>Indore, Ahmedabad, Hyderabad, Kolhapur, Delhi NCR</t>
  </si>
  <si>
    <t>Iron and aluminium castings, forgings</t>
  </si>
  <si>
    <t>Heat-wise traceability, high rejection rates, melt and yield costing, job work for machining</t>
  </si>
  <si>
    <t>Production, quality, costing, inventory with batches</t>
  </si>
  <si>
    <t>Covered by engineering template</t>
  </si>
  <si>
    <t>Kolhapur, Rajkot, Coimbatore, Belgaum, Batala</t>
  </si>
  <si>
    <t>Textiles and garments</t>
  </si>
  <si>
    <t>Fabric, garments, home textiles, processing houses</t>
  </si>
  <si>
    <t>Size and colour variants, job work for dyeing, printing and stitching, lot-wise tracking</t>
  </si>
  <si>
    <t>Inventory, production, purchase, sales</t>
  </si>
  <si>
    <t>BRD launch template (variants and job work not built yet)</t>
  </si>
  <si>
    <t>Tiruppur, Surat, Ludhiana, Ichalkaranji, Erode</t>
  </si>
  <si>
    <t>Chemicals and paints</t>
  </si>
  <si>
    <t>Speciality chemicals, paints, adhesives, dyes</t>
  </si>
  <si>
    <t>Process (formula) BOM, batch traceability, quality testing of every batch</t>
  </si>
  <si>
    <t>Inventory with batches, quality, BOM, purchase</t>
  </si>
  <si>
    <t>Phase 2 template</t>
  </si>
  <si>
    <t>Vapi, Ankleshwar, Dahej, Navi Mumbai, Vadodara</t>
  </si>
  <si>
    <t>Electricals and cables</t>
  </si>
  <si>
    <t>Wires, cables, switchgear, panels, transformers</t>
  </si>
  <si>
    <t>Copper and aluminium price swings change cost daily, length-based stock, order-wise costing</t>
  </si>
  <si>
    <t>Costing, inventory, production, purchase</t>
  </si>
  <si>
    <t>Delhi NCR, Vadodara, Bengaluru, Silvassa</t>
  </si>
  <si>
    <t>Rubber and polymer products</t>
  </si>
  <si>
    <t>Rubber mouldings, hoses, gaskets, tyres retread</t>
  </si>
  <si>
    <t>Compound recipe costing, batch curing records, OEM quality requirements</t>
  </si>
  <si>
    <t>BOM, production, quality, inventory</t>
  </si>
  <si>
    <t>Not a named template</t>
  </si>
  <si>
    <t>Kottayam, Pune, Jalandhar, Chennai</t>
  </si>
  <si>
    <t>Furniture and wood products</t>
  </si>
  <si>
    <t>Modular furniture, doors, panels</t>
  </si>
  <si>
    <t>Order-wise costing and cut-plan wastage; many are project based rather than repeat production</t>
  </si>
  <si>
    <t>Sales orders, BOM, production, purchase</t>
  </si>
  <si>
    <t>Jodhpur, Bengaluru, Kirti Nagar (Delhi), Mumbai</t>
  </si>
  <si>
    <t>Pharma formulations (small)</t>
  </si>
  <si>
    <t>Tablets, syrups, ointments under loan licence or own brand</t>
  </si>
  <si>
    <t>Strong need for batch, expiry and QC release, but regulated validation is outside the product scope</t>
  </si>
  <si>
    <t>Inventory with batches, quality, production</t>
  </si>
  <si>
    <t>Out of scope for regulated validation</t>
  </si>
  <si>
    <t>Baddi, Ahmedabad, Hyderabad, Haridwar</t>
  </si>
  <si>
    <t>Other manufacturing</t>
  </si>
  <si>
    <t>Anything not listed above</t>
  </si>
  <si>
    <t>Qualify on the call</t>
  </si>
  <si>
    <t>Sources: industries, pain points and launch templates are from Endustry_ERP_BRD.docx (sections 2.2, 4, 5 and 8.21). Fit scores and cluster cities are our own working assumptions and are not verified market data. Target size from the BRD: turnover Rs 2 crore to Rs 100 crore, 10 to 250 employees.</t>
  </si>
  <si>
    <t>Where to find leads, and how to tell who is actively looking</t>
  </si>
  <si>
    <t>Collect phone numbers and emails from the business itself or from sources where it published them for enquiries. Do not buy scraped lists.</t>
  </si>
  <si>
    <t>Source</t>
  </si>
  <si>
    <t>What you get</t>
  </si>
  <si>
    <t>How to use it</t>
  </si>
  <si>
    <t>Signal that they are actively looking</t>
  </si>
  <si>
    <t>Your own website and Instagram</t>
  </si>
  <si>
    <t>Name, phone and email given by the prospect</t>
  </si>
  <si>
    <t>Add a "Book a demo" form and a WhatsApp button; put the link in the reel and carousel captions</t>
  </si>
  <si>
    <t>They filled the form or messaged you. This is the strongest signal.</t>
  </si>
  <si>
    <t>CA firms and Tally partners</t>
  </si>
  <si>
    <t>Warm introductions to their manufacturing clients</t>
  </si>
  <si>
    <t>Offer a referral share; ask each partner for clients who complain about stock, costing or production</t>
  </si>
  <si>
    <t>The CA says the client has outgrown Tally or asked about an ERP</t>
  </si>
  <si>
    <t>Existing customers</t>
  </si>
  <si>
    <t>Referrals to suppliers, job workers and neighbours in the same estate</t>
  </si>
  <si>
    <t>Ask after every successful go-live; offer a month free per referral</t>
  </si>
  <si>
    <t>Referred owner asks for a demo</t>
  </si>
  <si>
    <t>Industry associations and estates</t>
  </si>
  <si>
    <t>Member directories of MIDC / GIDC estates, CII, MCCIA, local chambers, sector bodies</t>
  </si>
  <si>
    <t>Join, attend meets, sponsor a session; use the published member directory for the industry and city</t>
  </si>
  <si>
    <t>Member asks questions at a session or visits your stall</t>
  </si>
  <si>
    <t>IndiaMART / TradeIndia</t>
  </si>
  <si>
    <t>Manufacturers by product and city, with the enquiry number they published</t>
  </si>
  <si>
    <t>Search by product in a target cluster; contact as a vendor introduction, not bulk messaging</t>
  </si>
  <si>
    <t>They have posted a requirement for ERP, inventory or production software</t>
  </si>
  <si>
    <t>LinkedIn</t>
  </si>
  <si>
    <t>Owners, plant heads and finance heads of small manufacturers</t>
  </si>
  <si>
    <t>Search by title and city; send a short personal note with the reel</t>
  </si>
  <si>
    <t>Posts about hiring planners or storekeepers, expansion, or software frustration</t>
  </si>
  <si>
    <t>Trade expos</t>
  </si>
  <si>
    <t>Visiting cards from exhibitors in your target industries</t>
  </si>
  <si>
    <t>Walk the stalls of small exhibitors; note their industry and pain on the card</t>
  </si>
  <si>
    <t>Asks about price and go-live time on the spot</t>
  </si>
  <si>
    <t>Udyam and GST public search</t>
  </si>
  <si>
    <t>Confirmation that a business is a registered MSME and its category</t>
  </si>
  <si>
    <t>Use to verify a lead and fill the MSME category; it does not provide contact lists</t>
  </si>
  <si>
    <t>Not a buying signal; a qualification check</t>
  </si>
  <si>
    <t>Five questions that tell you if a lead is actively looking</t>
  </si>
  <si>
    <t>1. What made you look for software now? (a trigger: audit, lost order, new customer demand, growth)</t>
  </si>
  <si>
    <t>2. Who else is involved in the decision, and have they agreed a budget?</t>
  </si>
  <si>
    <t>3. By when do you want it running?</t>
  </si>
  <si>
    <t>4. What are you using today, and what is the one thing it cannot do?</t>
  </si>
  <si>
    <t>5. Have you seen demos of other products? Which ones?</t>
  </si>
  <si>
    <t>Before calling or emailing: commercial calls and SMS to numbers on the Do Not Disturb registry are restricted under TRAI rules, and personal data (a named person's mobile or email) falls under the Digital Personal Data Protection Act, 2023. Contact businesses on details they published for business enquiries, say where you got them, and stop when asked. Check the current rules before any bulk outreach.</t>
  </si>
  <si>
    <t>Pipeline summary</t>
  </si>
  <si>
    <t>Counts update automatically from the Leads sheet.</t>
  </si>
  <si>
    <t>Headline</t>
  </si>
  <si>
    <t>Count</t>
  </si>
  <si>
    <t>By industry</t>
  </si>
  <si>
    <t>Total leads</t>
  </si>
  <si>
    <t>Warm leads</t>
  </si>
  <si>
    <t>Cold leads</t>
  </si>
  <si>
    <t>Won</t>
  </si>
  <si>
    <t>Follow-ups overdue (open leads)</t>
  </si>
  <si>
    <t>Win rate of closed leads</t>
  </si>
  <si>
    <t>By stage</t>
  </si>
  <si>
    <t>Contacted</t>
  </si>
  <si>
    <t>Demo booked</t>
  </si>
  <si>
    <t>Demo done</t>
  </si>
  <si>
    <t>By lead source</t>
  </si>
  <si>
    <t>Proposal sent</t>
  </si>
  <si>
    <t>Negotiation</t>
  </si>
  <si>
    <t>Referral from customer</t>
  </si>
  <si>
    <t>CA or Tally partner</t>
  </si>
  <si>
    <t>Lost</t>
  </si>
  <si>
    <t>Website enquiry</t>
  </si>
  <si>
    <t>Not a fit</t>
  </si>
  <si>
    <t>Instagram / Facebook</t>
  </si>
  <si>
    <t>By buying intent</t>
  </si>
  <si>
    <t>IndiaMART / TradeIndia enquiry</t>
  </si>
  <si>
    <t>Yes, wants to decide this month</t>
  </si>
  <si>
    <t>Industry association / expo</t>
  </si>
  <si>
    <t>Yes, this quarter</t>
  </si>
  <si>
    <t>Cold call</t>
  </si>
  <si>
    <t>Exploring, no timeline</t>
  </si>
  <si>
    <t>WhatsApp enquiry</t>
  </si>
  <si>
    <t>Not looking now</t>
  </si>
  <si>
    <t>Other</t>
  </si>
  <si>
    <t>Lists and scoring points</t>
  </si>
  <si>
    <t>Dropdown choices for the Leads sheet. Points feed the Fit score. Edit points here to change how leads are ranked.</t>
  </si>
  <si>
    <t>Points</t>
  </si>
  <si>
    <t>Micro (turnover up to Rs 10 crore)</t>
  </si>
  <si>
    <t>Tally</t>
  </si>
  <si>
    <t>Stock does not match the store</t>
  </si>
  <si>
    <t>Small (Rs 10 to 100 crore)</t>
  </si>
  <si>
    <t>Busy</t>
  </si>
  <si>
    <t>Do not know real product cost</t>
  </si>
  <si>
    <t>Gujarat</t>
  </si>
  <si>
    <t>Medium (Rs 100 to 500 crore)</t>
  </si>
  <si>
    <t>Marg</t>
  </si>
  <si>
    <t>Production tracked on paper</t>
  </si>
  <si>
    <t>Tamil Nadu</t>
  </si>
  <si>
    <t>Excel and paper only</t>
  </si>
  <si>
    <t>Late deliveries to customers</t>
  </si>
  <si>
    <t>Karnataka</t>
  </si>
  <si>
    <t>Zoho / other cloud billing</t>
  </si>
  <si>
    <t>GST and compliance work is manual</t>
  </si>
  <si>
    <t>Delhi</t>
  </si>
  <si>
    <t>Other ERP (SAP, Odoo, ERPNext)</t>
  </si>
  <si>
    <t>Job work material not tracked</t>
  </si>
  <si>
    <t>Haryana</t>
  </si>
  <si>
    <t>Rejections and quality problems</t>
  </si>
  <si>
    <t>Punjab</t>
  </si>
  <si>
    <t>Owner cannot see business when away</t>
  </si>
  <si>
    <t>Uttar Pradesh</t>
  </si>
  <si>
    <t>Outgrown Tally</t>
  </si>
  <si>
    <t>Rajasthan</t>
  </si>
  <si>
    <t>Telangana</t>
  </si>
  <si>
    <t>Andhra Pradesh</t>
  </si>
  <si>
    <t>West Bengal</t>
  </si>
  <si>
    <t>Madhya Pradesh</t>
  </si>
  <si>
    <t>Kerala</t>
  </si>
  <si>
    <t>Assumption: the points are a starting judgement, not measured data. Industry points are the fit score on the Industries sheet times 8 (maximum 40). Category, current system and buying intent are worth up to 20 each, so the best possible Fit score is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</si>
</sst>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x14ac:knownFonts="1">
    <font>
      <sz val="11"/>
      <color theme="1"/>
      <name val="Calibri"/>
      <family val="2"/>
      <scheme val="minor"/>
    </font>
    <font>
      <b/>
      <sz val="16"/>
      <color rgb="FF6D3FE0"/>
      <name val="Arial"/>
    </font>
    <font>
      <sz val="10"/>
      <color rgb="FF555555"/>
      <name val="Arial"/>
    </font>
    <font>
      <b/>
      <sz val="10"/>
      <color rgb="FFFFFFFF"/>
      <name val="Arial"/>
    </font>
    <font>
      <sz val="10"/>
      <name val="Arial"/>
    </font>
    <font>
      <sz val="10"/>
      <color rgb="FF0000FF"/>
      <name val="Arial"/>
    </font>
    <font>
      <i/>
      <sz val="9"/>
      <color rgb="FF555555"/>
      <name val="Arial"/>
    </font>
    <font>
      <b/>
      <sz val="10"/>
      <name val="Arial"/>
    </font>
    <font>
      <b/>
      <sz val="12"/>
      <color rgb="FF6D3FE0"/>
      <name val="Arial"/>
    </font>
    <font>
      <i/>
      <sz val="9"/>
      <color rgb="FF7F1D1D"/>
      <name val="Arial"/>
    </font>
  </fonts>
  <fills count="5">
    <fill>
      <patternFill patternType="none"/>
    </fill>
    <fill>
      <patternFill patternType="gray125"/>
    </fill>
    <fill>
      <patternFill patternType="solid">
        <fgColor rgb="FF6D3FE0"/>
      </patternFill>
    </fill>
    <fill>
      <patternFill patternType="solid">
        <fgColor rgb="FFFFF9DB"/>
      </patternFill>
    </fill>
    <fill>
      <patternFill patternType="solid">
        <fgColor rgb="FFF1ECFF"/>
      </patternFill>
    </fill>
  </fills>
  <borders count="2">
    <border>
      <left/>
      <right/>
      <top/>
      <bottom/>
      <diagonal/>
    </border>
    <border>
      <left style="thin">
        <color rgb="FFD9D3EE"/>
      </left>
      <right style="thin">
        <color rgb="FFD9D3EE"/>
      </right>
      <top style="thin">
        <color rgb="FFD9D3EE"/>
      </top>
      <bottom style="thin">
        <color rgb="FFD9D3EE"/>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7" fillId="4" borderId="1" xfId="0" applyFont="1" applyFill="1" applyBorder="1" applyAlignment="1">
      <alignment horizontal="left" vertical="top" wrapText="1"/>
    </xf>
    <xf numFmtId="0" fontId="4" fillId="0" borderId="1" xfId="0" applyFont="1" applyBorder="1" applyAlignment="1">
      <alignment horizontal="left" vertical="top"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top"/>
    </xf>
    <xf numFmtId="164" fontId="4" fillId="3" borderId="1" xfId="0" applyNumberFormat="1" applyFont="1" applyFill="1" applyBorder="1" applyAlignment="1">
      <alignment horizontal="left" vertical="top"/>
    </xf>
    <xf numFmtId="0" fontId="4" fillId="3" borderId="1" xfId="0" applyFont="1" applyFill="1" applyBorder="1" applyAlignment="1">
      <alignment horizontal="left" vertical="top"/>
    </xf>
    <xf numFmtId="49" fontId="4" fillId="3" borderId="1" xfId="0" applyNumberFormat="1" applyFont="1" applyFill="1" applyBorder="1" applyAlignment="1">
      <alignment horizontal="left" vertical="top"/>
    </xf>
    <xf numFmtId="0" fontId="4" fillId="3" borderId="1" xfId="0" applyFont="1" applyFill="1" applyBorder="1" applyAlignment="1">
      <alignment horizontal="center" vertical="top"/>
    </xf>
    <xf numFmtId="0" fontId="4" fillId="3" borderId="1" xfId="0" applyFont="1" applyFill="1" applyBorder="1" applyAlignment="1">
      <alignment horizontal="left" vertical="top" wrapText="1"/>
    </xf>
    <xf numFmtId="0" fontId="4" fillId="0" borderId="1" xfId="0" applyFont="1" applyBorder="1" applyAlignment="1">
      <alignment horizontal="center" vertical="top" wrapText="1"/>
    </xf>
    <xf numFmtId="0" fontId="7" fillId="0" borderId="1" xfId="0" applyFont="1" applyBorder="1" applyAlignment="1">
      <alignment horizontal="left" vertical="top" wrapText="1"/>
    </xf>
    <xf numFmtId="0" fontId="8" fillId="0" borderId="0" xfId="0" applyFont="1"/>
    <xf numFmtId="0" fontId="7" fillId="0" borderId="1" xfId="0" applyFont="1" applyBorder="1" applyAlignment="1">
      <alignment horizontal="left" vertical="top"/>
    </xf>
    <xf numFmtId="0" fontId="4" fillId="0" borderId="1" xfId="0" applyFont="1" applyBorder="1" applyAlignment="1">
      <alignment horizontal="left" vertical="top"/>
    </xf>
    <xf numFmtId="9" fontId="4" fillId="0" borderId="1" xfId="0" applyNumberFormat="1" applyFont="1" applyBorder="1" applyAlignment="1">
      <alignment horizontal="center" vertical="top" wrapText="1"/>
    </xf>
    <xf numFmtId="0" fontId="5" fillId="3" borderId="1" xfId="0" applyFont="1" applyFill="1" applyBorder="1" applyAlignment="1">
      <alignment horizontal="center" vertical="top" wrapText="1"/>
    </xf>
    <xf numFmtId="0" fontId="6" fillId="0" borderId="0" xfId="0" applyFont="1" applyAlignment="1">
      <alignment vertical="top" wrapText="1"/>
    </xf>
    <xf numFmtId="0" fontId="0" fillId="0" borderId="0" xfId="0"/>
    <xf numFmtId="0" fontId="4" fillId="0" borderId="0" xfId="0" applyFont="1"/>
    <xf numFmtId="0" fontId="9" fillId="0" borderId="0" xfId="0" applyFont="1" applyAlignment="1">
      <alignment vertical="top" wrapText="1"/>
    </xf>
  </cellXfs>
  <cellStyles count="1">
    <cellStyle name="Normal" xfId="0" builtinId="0"/>
  </cellStyles>
  <dxfs count="6">
    <dxf>
      <fill>
        <patternFill patternType="solid">
          <bgColor rgb="FFE5E7EB"/>
        </patternFill>
      </fill>
    </dxf>
    <dxf>
      <font>
        <b/>
        <color rgb="FF14532D"/>
      </font>
      <fill>
        <patternFill patternType="solid">
          <bgColor rgb="FFBBF7D0"/>
        </patternFill>
      </fill>
    </dxf>
    <dxf>
      <font>
        <b/>
        <color rgb="FF7F1D1D"/>
      </font>
      <fill>
        <patternFill patternType="solid">
          <bgColor rgb="FFFCA5A5"/>
        </patternFill>
      </fill>
    </dxf>
    <dxf>
      <font>
        <color rgb="FF1E3A8A"/>
      </font>
      <fill>
        <patternFill patternType="solid">
          <bgColor rgb="FFBFDBFE"/>
        </patternFill>
      </fill>
    </dxf>
    <dxf>
      <font>
        <b/>
        <color rgb="FF78350F"/>
      </font>
      <fill>
        <patternFill patternType="solid">
          <bgColor rgb="FFFDE68A"/>
        </patternFill>
      </fill>
    </dxf>
    <dxf>
      <font>
        <b/>
        <color rgb="FF7F1D1D"/>
      </font>
      <fill>
        <patternFill patternType="solid">
          <bgColor rgb="FFFCA5A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D3FE0"/>
  </sheetPr>
  <dimension ref="A1:B10"/>
  <sheetViews>
    <sheetView showGridLines="0" workbookViewId="0"/>
  </sheetViews>
  <sheetFormatPr defaultRowHeight="15" x14ac:dyDescent="0.25"/>
  <cols>
    <col min="1" max="1" width="24" customWidth="1"/>
    <col min="2" max="2" width="110" customWidth="1"/>
  </cols>
  <sheetData>
    <row r="1" spans="1:2" ht="20.25" x14ac:dyDescent="0.3">
      <c r="A1" s="1" t="s">
        <v>126</v>
      </c>
    </row>
    <row r="2" spans="1:2" x14ac:dyDescent="0.25">
      <c r="A2" s="2" t="s">
        <v>127</v>
      </c>
    </row>
    <row r="4" spans="1:2" ht="48" customHeight="1" x14ac:dyDescent="0.25">
      <c r="A4" s="3" t="s">
        <v>128</v>
      </c>
      <c r="B4" s="4" t="s">
        <v>129</v>
      </c>
    </row>
    <row r="5" spans="1:2" ht="48" customHeight="1" x14ac:dyDescent="0.25">
      <c r="A5" s="3" t="s">
        <v>130</v>
      </c>
      <c r="B5" s="4" t="s">
        <v>131</v>
      </c>
    </row>
    <row r="6" spans="1:2" ht="48" customHeight="1" x14ac:dyDescent="0.25">
      <c r="A6" s="3" t="s">
        <v>132</v>
      </c>
      <c r="B6" s="4" t="s">
        <v>133</v>
      </c>
    </row>
    <row r="7" spans="1:2" ht="48" customHeight="1" x14ac:dyDescent="0.25">
      <c r="A7" s="3" t="s">
        <v>134</v>
      </c>
      <c r="B7" s="4" t="s">
        <v>135</v>
      </c>
    </row>
    <row r="8" spans="1:2" ht="48" customHeight="1" x14ac:dyDescent="0.25">
      <c r="A8" s="3" t="s">
        <v>136</v>
      </c>
      <c r="B8" s="4" t="s">
        <v>137</v>
      </c>
    </row>
    <row r="9" spans="1:2" ht="48" customHeight="1" x14ac:dyDescent="0.25">
      <c r="A9" s="3" t="s">
        <v>138</v>
      </c>
      <c r="B9" s="4" t="s">
        <v>139</v>
      </c>
    </row>
    <row r="10" spans="1:2" ht="48" customHeight="1" x14ac:dyDescent="0.25">
      <c r="A10" s="3" t="s">
        <v>140</v>
      </c>
      <c r="B10" s="4" t="s">
        <v>141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D3FE0"/>
  </sheetPr>
  <dimension ref="A1:X304"/>
  <sheetViews>
    <sheetView showGridLines="0" tabSelected="1" workbookViewId="0">
      <pane xSplit="3" ySplit="4" topLeftCell="D5" activePane="bottomRight" state="frozen"/>
      <selection pane="topRight"/>
      <selection pane="bottomLeft"/>
      <selection pane="bottomRight"/>
    </sheetView>
  </sheetViews>
  <sheetFormatPr defaultRowHeight="15" x14ac:dyDescent="0.25"/>
  <cols>
    <col min="1" max="1" width="9" customWidth="1"/>
    <col min="2" max="2" width="12" customWidth="1"/>
    <col min="3" max="3" width="30" customWidth="1"/>
    <col min="4" max="4" width="20" customWidth="1"/>
    <col min="5" max="6" width="16" customWidth="1"/>
    <col min="7" max="7" width="28" customWidth="1"/>
    <col min="8" max="8" width="14" customWidth="1"/>
    <col min="9" max="9" width="15" customWidth="1"/>
    <col min="10" max="10" width="34" customWidth="1"/>
    <col min="11" max="11" width="28" customWidth="1"/>
    <col min="12" max="12" width="11" customWidth="1"/>
    <col min="13" max="13" width="24" customWidth="1"/>
    <col min="14" max="14" width="30" customWidth="1"/>
    <col min="15" max="15" width="26" customWidth="1"/>
    <col min="16" max="16" width="28" customWidth="1"/>
    <col min="17" max="17" width="24" customWidth="1"/>
    <col min="18" max="18" width="15" customWidth="1"/>
    <col min="19" max="19" width="11" customWidth="1"/>
    <col min="20" max="20" width="10" customWidth="1"/>
    <col min="21" max="21" width="28" customWidth="1"/>
    <col min="22" max="22" width="13" customWidth="1"/>
    <col min="23" max="23" width="14" customWidth="1"/>
    <col min="24" max="24" width="40" customWidth="1"/>
  </cols>
  <sheetData>
    <row r="1" spans="1:24" ht="20.25" x14ac:dyDescent="0.3">
      <c r="A1" s="1" t="s">
        <v>0</v>
      </c>
    </row>
    <row r="2" spans="1:24" x14ac:dyDescent="0.25">
      <c r="A2" s="2" t="s">
        <v>1</v>
      </c>
    </row>
    <row r="4" spans="1:24" ht="33.950000000000003" customHeight="1" x14ac:dyDescent="0.25">
      <c r="A4" s="5" t="s">
        <v>2</v>
      </c>
      <c r="B4" s="5" t="s">
        <v>3</v>
      </c>
      <c r="C4" s="5" t="s">
        <v>4</v>
      </c>
      <c r="D4" s="5" t="s">
        <v>5</v>
      </c>
      <c r="E4" s="5" t="s">
        <v>6</v>
      </c>
      <c r="F4" s="5" t="s">
        <v>7</v>
      </c>
      <c r="G4" s="5" t="s">
        <v>8</v>
      </c>
      <c r="H4" s="5" t="s">
        <v>9</v>
      </c>
      <c r="I4" s="5" t="s">
        <v>10</v>
      </c>
      <c r="J4" s="5" t="s">
        <v>11</v>
      </c>
      <c r="K4" s="5" t="s">
        <v>12</v>
      </c>
      <c r="L4" s="5" t="s">
        <v>13</v>
      </c>
      <c r="M4" s="5" t="s">
        <v>14</v>
      </c>
      <c r="N4" s="5" t="s">
        <v>15</v>
      </c>
      <c r="O4" s="5" t="s">
        <v>16</v>
      </c>
      <c r="P4" s="5" t="s">
        <v>17</v>
      </c>
      <c r="Q4" s="5" t="s">
        <v>18</v>
      </c>
      <c r="R4" s="5" t="s">
        <v>19</v>
      </c>
      <c r="S4" s="5" t="s">
        <v>20</v>
      </c>
      <c r="T4" s="5" t="s">
        <v>21</v>
      </c>
      <c r="U4" s="5" t="s">
        <v>22</v>
      </c>
      <c r="V4" s="5" t="s">
        <v>23</v>
      </c>
      <c r="W4" s="5" t="s">
        <v>24</v>
      </c>
      <c r="X4" s="5" t="s">
        <v>25</v>
      </c>
    </row>
    <row r="5" spans="1:24" ht="51" x14ac:dyDescent="0.25">
      <c r="A5" s="6" t="str">
        <f t="shared" ref="A5:A68" si="0">IF($C5="","","L-"&amp;TEXT(ROW()-4,"000"))</f>
        <v>L-001</v>
      </c>
      <c r="B5" s="7">
        <v>46304</v>
      </c>
      <c r="C5" s="8" t="s">
        <v>26</v>
      </c>
      <c r="D5" s="8"/>
      <c r="E5" s="8"/>
      <c r="F5" s="9" t="s">
        <v>27</v>
      </c>
      <c r="G5" s="8" t="s">
        <v>28</v>
      </c>
      <c r="H5" s="8" t="s">
        <v>29</v>
      </c>
      <c r="I5" s="8" t="s">
        <v>30</v>
      </c>
      <c r="J5" s="8" t="s">
        <v>31</v>
      </c>
      <c r="K5" s="8" t="s">
        <v>32</v>
      </c>
      <c r="L5" s="10"/>
      <c r="M5" s="8" t="s">
        <v>32</v>
      </c>
      <c r="N5" s="8"/>
      <c r="O5" s="11"/>
      <c r="P5" s="8" t="s">
        <v>33</v>
      </c>
      <c r="Q5" s="8" t="s">
        <v>34</v>
      </c>
      <c r="R5" s="8" t="s">
        <v>35</v>
      </c>
      <c r="S5" s="6">
        <f>IF($C5="","",IFERROR(INDEX(Lists!$B$5:$B$16,MATCH(J5,Lists!$A$5:$A$16,0)),0)+IFERROR(INDEX(Lists!$E$5:$E$8,MATCH(K5,Lists!$D$5:$D$8,0)),0)+IFERROR(INDEX(Lists!$H$5:$H$11,MATCH(M5,Lists!$G$5:$G$11,0)),0)+IFERROR(INDEX(Lists!$K$5:$K$9,MATCH(P5,Lists!$J$5:$J$9,0)),0))</f>
        <v>57</v>
      </c>
      <c r="T5" s="6" t="str">
        <f t="shared" ref="T5:T68" si="1">IF($C5="","",IF(AND(S5&gt;=75,LEFT(P5,3)="Yes"),"Hot",IF(S5&gt;=55,"Warm","Cold")))</f>
        <v>Warm</v>
      </c>
      <c r="U5" s="11" t="s">
        <v>36</v>
      </c>
      <c r="V5" s="7"/>
      <c r="W5" s="8" t="s">
        <v>37</v>
      </c>
      <c r="X5" s="11" t="s">
        <v>38</v>
      </c>
    </row>
    <row r="6" spans="1:24" ht="63.75" x14ac:dyDescent="0.25">
      <c r="A6" s="6" t="str">
        <f t="shared" si="0"/>
        <v>L-002</v>
      </c>
      <c r="B6" s="7">
        <v>46304</v>
      </c>
      <c r="C6" s="8" t="s">
        <v>39</v>
      </c>
      <c r="D6" s="8"/>
      <c r="E6" s="8"/>
      <c r="F6" s="9" t="s">
        <v>40</v>
      </c>
      <c r="G6" s="8" t="s">
        <v>41</v>
      </c>
      <c r="H6" s="8" t="s">
        <v>42</v>
      </c>
      <c r="I6" s="8" t="s">
        <v>30</v>
      </c>
      <c r="J6" s="8" t="s">
        <v>31</v>
      </c>
      <c r="K6" s="8" t="s">
        <v>32</v>
      </c>
      <c r="L6" s="10"/>
      <c r="M6" s="8" t="s">
        <v>32</v>
      </c>
      <c r="N6" s="8"/>
      <c r="O6" s="11"/>
      <c r="P6" s="8" t="s">
        <v>33</v>
      </c>
      <c r="Q6" s="8" t="s">
        <v>34</v>
      </c>
      <c r="R6" s="8" t="s">
        <v>35</v>
      </c>
      <c r="S6" s="6">
        <f>IF($C6="","",IFERROR(INDEX(Lists!$B$5:$B$16,MATCH(J6,Lists!$A$5:$A$16,0)),0)+IFERROR(INDEX(Lists!$E$5:$E$8,MATCH(K6,Lists!$D$5:$D$8,0)),0)+IFERROR(INDEX(Lists!$H$5:$H$11,MATCH(M6,Lists!$G$5:$G$11,0)),0)+IFERROR(INDEX(Lists!$K$5:$K$9,MATCH(P6,Lists!$J$5:$J$9,0)),0))</f>
        <v>57</v>
      </c>
      <c r="T6" s="6" t="str">
        <f t="shared" si="1"/>
        <v>Warm</v>
      </c>
      <c r="U6" s="11" t="s">
        <v>36</v>
      </c>
      <c r="V6" s="7"/>
      <c r="W6" s="8" t="s">
        <v>37</v>
      </c>
      <c r="X6" s="11" t="s">
        <v>43</v>
      </c>
    </row>
    <row r="7" spans="1:24" ht="63.75" x14ac:dyDescent="0.25">
      <c r="A7" s="6" t="str">
        <f t="shared" si="0"/>
        <v>L-003</v>
      </c>
      <c r="B7" s="7">
        <v>46304</v>
      </c>
      <c r="C7" s="8" t="s">
        <v>44</v>
      </c>
      <c r="D7" s="8"/>
      <c r="E7" s="8"/>
      <c r="F7" s="9" t="s">
        <v>45</v>
      </c>
      <c r="G7" s="8" t="s">
        <v>46</v>
      </c>
      <c r="H7" s="8" t="s">
        <v>47</v>
      </c>
      <c r="I7" s="8" t="s">
        <v>30</v>
      </c>
      <c r="J7" s="8" t="s">
        <v>31</v>
      </c>
      <c r="K7" s="8" t="s">
        <v>32</v>
      </c>
      <c r="L7" s="10"/>
      <c r="M7" s="8" t="s">
        <v>32</v>
      </c>
      <c r="N7" s="8"/>
      <c r="O7" s="11"/>
      <c r="P7" s="8" t="s">
        <v>33</v>
      </c>
      <c r="Q7" s="8" t="s">
        <v>34</v>
      </c>
      <c r="R7" s="8" t="s">
        <v>35</v>
      </c>
      <c r="S7" s="6">
        <f>IF($C7="","",IFERROR(INDEX(Lists!$B$5:$B$16,MATCH(J7,Lists!$A$5:$A$16,0)),0)+IFERROR(INDEX(Lists!$E$5:$E$8,MATCH(K7,Lists!$D$5:$D$8,0)),0)+IFERROR(INDEX(Lists!$H$5:$H$11,MATCH(M7,Lists!$G$5:$G$11,0)),0)+IFERROR(INDEX(Lists!$K$5:$K$9,MATCH(P7,Lists!$J$5:$J$9,0)),0))</f>
        <v>57</v>
      </c>
      <c r="T7" s="6" t="str">
        <f t="shared" si="1"/>
        <v>Warm</v>
      </c>
      <c r="U7" s="11" t="s">
        <v>36</v>
      </c>
      <c r="V7" s="7"/>
      <c r="W7" s="8" t="s">
        <v>37</v>
      </c>
      <c r="X7" s="11" t="s">
        <v>48</v>
      </c>
    </row>
    <row r="8" spans="1:24" ht="76.5" x14ac:dyDescent="0.25">
      <c r="A8" s="6" t="str">
        <f t="shared" si="0"/>
        <v>L-004</v>
      </c>
      <c r="B8" s="7">
        <v>46304</v>
      </c>
      <c r="C8" s="8" t="s">
        <v>49</v>
      </c>
      <c r="D8" s="8"/>
      <c r="E8" s="8"/>
      <c r="F8" s="9" t="s">
        <v>50</v>
      </c>
      <c r="G8" s="8"/>
      <c r="H8" s="8" t="s">
        <v>51</v>
      </c>
      <c r="I8" s="8" t="s">
        <v>30</v>
      </c>
      <c r="J8" s="8" t="s">
        <v>31</v>
      </c>
      <c r="K8" s="8" t="s">
        <v>32</v>
      </c>
      <c r="L8" s="10"/>
      <c r="M8" s="8" t="s">
        <v>32</v>
      </c>
      <c r="N8" s="8"/>
      <c r="O8" s="11"/>
      <c r="P8" s="8" t="s">
        <v>33</v>
      </c>
      <c r="Q8" s="8" t="s">
        <v>34</v>
      </c>
      <c r="R8" s="8" t="s">
        <v>35</v>
      </c>
      <c r="S8" s="6">
        <f>IF($C8="","",IFERROR(INDEX(Lists!$B$5:$B$16,MATCH(J8,Lists!$A$5:$A$16,0)),0)+IFERROR(INDEX(Lists!$E$5:$E$8,MATCH(K8,Lists!$D$5:$D$8,0)),0)+IFERROR(INDEX(Lists!$H$5:$H$11,MATCH(M8,Lists!$G$5:$G$11,0)),0)+IFERROR(INDEX(Lists!$K$5:$K$9,MATCH(P8,Lists!$J$5:$J$9,0)),0))</f>
        <v>57</v>
      </c>
      <c r="T8" s="6" t="str">
        <f t="shared" si="1"/>
        <v>Warm</v>
      </c>
      <c r="U8" s="11" t="s">
        <v>36</v>
      </c>
      <c r="V8" s="7"/>
      <c r="W8" s="8" t="s">
        <v>37</v>
      </c>
      <c r="X8" s="11" t="s">
        <v>52</v>
      </c>
    </row>
    <row r="9" spans="1:24" ht="76.5" x14ac:dyDescent="0.25">
      <c r="A9" s="6" t="str">
        <f t="shared" si="0"/>
        <v>L-005</v>
      </c>
      <c r="B9" s="7">
        <v>46304</v>
      </c>
      <c r="C9" s="8" t="s">
        <v>53</v>
      </c>
      <c r="D9" s="8"/>
      <c r="E9" s="8"/>
      <c r="F9" s="9" t="s">
        <v>54</v>
      </c>
      <c r="G9" s="8" t="s">
        <v>55</v>
      </c>
      <c r="H9" s="8" t="s">
        <v>56</v>
      </c>
      <c r="I9" s="8" t="s">
        <v>30</v>
      </c>
      <c r="J9" s="8" t="s">
        <v>31</v>
      </c>
      <c r="K9" s="8" t="s">
        <v>32</v>
      </c>
      <c r="L9" s="10"/>
      <c r="M9" s="8" t="s">
        <v>32</v>
      </c>
      <c r="N9" s="8"/>
      <c r="O9" s="11"/>
      <c r="P9" s="8" t="s">
        <v>33</v>
      </c>
      <c r="Q9" s="8" t="s">
        <v>34</v>
      </c>
      <c r="R9" s="8" t="s">
        <v>35</v>
      </c>
      <c r="S9" s="6">
        <f>IF($C9="","",IFERROR(INDEX(Lists!$B$5:$B$16,MATCH(J9,Lists!$A$5:$A$16,0)),0)+IFERROR(INDEX(Lists!$E$5:$E$8,MATCH(K9,Lists!$D$5:$D$8,0)),0)+IFERROR(INDEX(Lists!$H$5:$H$11,MATCH(M9,Lists!$G$5:$G$11,0)),0)+IFERROR(INDEX(Lists!$K$5:$K$9,MATCH(P9,Lists!$J$5:$J$9,0)),0))</f>
        <v>57</v>
      </c>
      <c r="T9" s="6" t="str">
        <f t="shared" si="1"/>
        <v>Warm</v>
      </c>
      <c r="U9" s="11" t="s">
        <v>36</v>
      </c>
      <c r="V9" s="7"/>
      <c r="W9" s="8" t="s">
        <v>37</v>
      </c>
      <c r="X9" s="11" t="s">
        <v>57</v>
      </c>
    </row>
    <row r="10" spans="1:24" ht="51" x14ac:dyDescent="0.25">
      <c r="A10" s="6" t="str">
        <f t="shared" si="0"/>
        <v>L-006</v>
      </c>
      <c r="B10" s="7">
        <v>46304</v>
      </c>
      <c r="C10" s="8" t="s">
        <v>58</v>
      </c>
      <c r="D10" s="8"/>
      <c r="E10" s="8"/>
      <c r="F10" s="9" t="s">
        <v>59</v>
      </c>
      <c r="G10" s="8" t="s">
        <v>60</v>
      </c>
      <c r="H10" s="8" t="s">
        <v>61</v>
      </c>
      <c r="I10" s="8" t="s">
        <v>30</v>
      </c>
      <c r="J10" s="8" t="s">
        <v>62</v>
      </c>
      <c r="K10" s="8" t="s">
        <v>32</v>
      </c>
      <c r="L10" s="10"/>
      <c r="M10" s="8" t="s">
        <v>32</v>
      </c>
      <c r="N10" s="8"/>
      <c r="O10" s="11"/>
      <c r="P10" s="8" t="s">
        <v>33</v>
      </c>
      <c r="Q10" s="8" t="s">
        <v>34</v>
      </c>
      <c r="R10" s="8" t="s">
        <v>35</v>
      </c>
      <c r="S10" s="6">
        <f>IF($C10="","",IFERROR(INDEX(Lists!$B$5:$B$16,MATCH(J10,Lists!$A$5:$A$16,0)),0)+IFERROR(INDEX(Lists!$E$5:$E$8,MATCH(K10,Lists!$D$5:$D$8,0)),0)+IFERROR(INDEX(Lists!$H$5:$H$11,MATCH(M10,Lists!$G$5:$G$11,0)),0)+IFERROR(INDEX(Lists!$K$5:$K$9,MATCH(P10,Lists!$J$5:$J$9,0)),0))</f>
        <v>57</v>
      </c>
      <c r="T10" s="6" t="str">
        <f t="shared" si="1"/>
        <v>Warm</v>
      </c>
      <c r="U10" s="11" t="s">
        <v>36</v>
      </c>
      <c r="V10" s="7"/>
      <c r="W10" s="8" t="s">
        <v>37</v>
      </c>
      <c r="X10" s="11" t="s">
        <v>63</v>
      </c>
    </row>
    <row r="11" spans="1:24" ht="76.5" x14ac:dyDescent="0.25">
      <c r="A11" s="6" t="str">
        <f t="shared" si="0"/>
        <v>L-007</v>
      </c>
      <c r="B11" s="7">
        <v>46304</v>
      </c>
      <c r="C11" s="8" t="s">
        <v>64</v>
      </c>
      <c r="D11" s="8"/>
      <c r="E11" s="8"/>
      <c r="F11" s="9" t="s">
        <v>65</v>
      </c>
      <c r="G11" s="8"/>
      <c r="H11" s="8" t="s">
        <v>66</v>
      </c>
      <c r="I11" s="8" t="s">
        <v>30</v>
      </c>
      <c r="J11" s="8" t="s">
        <v>62</v>
      </c>
      <c r="K11" s="8" t="s">
        <v>32</v>
      </c>
      <c r="L11" s="10"/>
      <c r="M11" s="8" t="s">
        <v>32</v>
      </c>
      <c r="N11" s="8"/>
      <c r="O11" s="11"/>
      <c r="P11" s="8" t="s">
        <v>33</v>
      </c>
      <c r="Q11" s="8" t="s">
        <v>34</v>
      </c>
      <c r="R11" s="8" t="s">
        <v>35</v>
      </c>
      <c r="S11" s="6">
        <f>IF($C11="","",IFERROR(INDEX(Lists!$B$5:$B$16,MATCH(J11,Lists!$A$5:$A$16,0)),0)+IFERROR(INDEX(Lists!$E$5:$E$8,MATCH(K11,Lists!$D$5:$D$8,0)),0)+IFERROR(INDEX(Lists!$H$5:$H$11,MATCH(M11,Lists!$G$5:$G$11,0)),0)+IFERROR(INDEX(Lists!$K$5:$K$9,MATCH(P11,Lists!$J$5:$J$9,0)),0))</f>
        <v>57</v>
      </c>
      <c r="T11" s="6" t="str">
        <f t="shared" si="1"/>
        <v>Warm</v>
      </c>
      <c r="U11" s="11" t="s">
        <v>36</v>
      </c>
      <c r="V11" s="7"/>
      <c r="W11" s="8" t="s">
        <v>37</v>
      </c>
      <c r="X11" s="11" t="s">
        <v>67</v>
      </c>
    </row>
    <row r="12" spans="1:24" ht="89.25" x14ac:dyDescent="0.25">
      <c r="A12" s="6" t="str">
        <f t="shared" si="0"/>
        <v>L-008</v>
      </c>
      <c r="B12" s="7">
        <v>46304</v>
      </c>
      <c r="C12" s="8" t="s">
        <v>68</v>
      </c>
      <c r="D12" s="8"/>
      <c r="E12" s="8"/>
      <c r="F12" s="9" t="s">
        <v>69</v>
      </c>
      <c r="G12" s="8" t="s">
        <v>70</v>
      </c>
      <c r="H12" s="8" t="s">
        <v>71</v>
      </c>
      <c r="I12" s="8" t="s">
        <v>30</v>
      </c>
      <c r="J12" s="8" t="s">
        <v>62</v>
      </c>
      <c r="K12" s="8" t="s">
        <v>32</v>
      </c>
      <c r="L12" s="10"/>
      <c r="M12" s="8" t="s">
        <v>32</v>
      </c>
      <c r="N12" s="8"/>
      <c r="O12" s="11"/>
      <c r="P12" s="8" t="s">
        <v>33</v>
      </c>
      <c r="Q12" s="8" t="s">
        <v>34</v>
      </c>
      <c r="R12" s="8" t="s">
        <v>35</v>
      </c>
      <c r="S12" s="6">
        <f>IF($C12="","",IFERROR(INDEX(Lists!$B$5:$B$16,MATCH(J12,Lists!$A$5:$A$16,0)),0)+IFERROR(INDEX(Lists!$E$5:$E$8,MATCH(K12,Lists!$D$5:$D$8,0)),0)+IFERROR(INDEX(Lists!$H$5:$H$11,MATCH(M12,Lists!$G$5:$G$11,0)),0)+IFERROR(INDEX(Lists!$K$5:$K$9,MATCH(P12,Lists!$J$5:$J$9,0)),0))</f>
        <v>57</v>
      </c>
      <c r="T12" s="6" t="str">
        <f t="shared" si="1"/>
        <v>Warm</v>
      </c>
      <c r="U12" s="11" t="s">
        <v>36</v>
      </c>
      <c r="V12" s="7"/>
      <c r="W12" s="8" t="s">
        <v>37</v>
      </c>
      <c r="X12" s="11" t="s">
        <v>72</v>
      </c>
    </row>
    <row r="13" spans="1:24" ht="76.5" x14ac:dyDescent="0.25">
      <c r="A13" s="6" t="str">
        <f t="shared" si="0"/>
        <v>L-009</v>
      </c>
      <c r="B13" s="7">
        <v>46304</v>
      </c>
      <c r="C13" s="8" t="s">
        <v>73</v>
      </c>
      <c r="D13" s="8"/>
      <c r="E13" s="8"/>
      <c r="F13" s="9" t="s">
        <v>74</v>
      </c>
      <c r="G13" s="8" t="s">
        <v>75</v>
      </c>
      <c r="H13" s="8" t="s">
        <v>29</v>
      </c>
      <c r="I13" s="8" t="s">
        <v>30</v>
      </c>
      <c r="J13" s="8" t="s">
        <v>76</v>
      </c>
      <c r="K13" s="8" t="s">
        <v>32</v>
      </c>
      <c r="L13" s="10"/>
      <c r="M13" s="8" t="s">
        <v>32</v>
      </c>
      <c r="N13" s="8"/>
      <c r="O13" s="11"/>
      <c r="P13" s="8" t="s">
        <v>33</v>
      </c>
      <c r="Q13" s="8" t="s">
        <v>34</v>
      </c>
      <c r="R13" s="8" t="s">
        <v>35</v>
      </c>
      <c r="S13" s="6">
        <f>IF($C13="","",IFERROR(INDEX(Lists!$B$5:$B$16,MATCH(J13,Lists!$A$5:$A$16,0)),0)+IFERROR(INDEX(Lists!$E$5:$E$8,MATCH(K13,Lists!$D$5:$D$8,0)),0)+IFERROR(INDEX(Lists!$H$5:$H$11,MATCH(M13,Lists!$G$5:$G$11,0)),0)+IFERROR(INDEX(Lists!$K$5:$K$9,MATCH(P13,Lists!$J$5:$J$9,0)),0))</f>
        <v>49</v>
      </c>
      <c r="T13" s="6" t="str">
        <f t="shared" si="1"/>
        <v>Cold</v>
      </c>
      <c r="U13" s="11" t="s">
        <v>36</v>
      </c>
      <c r="V13" s="7"/>
      <c r="W13" s="8" t="s">
        <v>37</v>
      </c>
      <c r="X13" s="11" t="s">
        <v>77</v>
      </c>
    </row>
    <row r="14" spans="1:24" ht="76.5" x14ac:dyDescent="0.25">
      <c r="A14" s="6" t="str">
        <f t="shared" si="0"/>
        <v>L-010</v>
      </c>
      <c r="B14" s="7">
        <v>46304</v>
      </c>
      <c r="C14" s="8" t="s">
        <v>78</v>
      </c>
      <c r="D14" s="8"/>
      <c r="E14" s="8"/>
      <c r="F14" s="9" t="s">
        <v>79</v>
      </c>
      <c r="G14" s="8" t="s">
        <v>80</v>
      </c>
      <c r="H14" s="8" t="s">
        <v>81</v>
      </c>
      <c r="I14" s="8" t="s">
        <v>30</v>
      </c>
      <c r="J14" s="8" t="s">
        <v>76</v>
      </c>
      <c r="K14" s="8" t="s">
        <v>32</v>
      </c>
      <c r="L14" s="10"/>
      <c r="M14" s="8" t="s">
        <v>32</v>
      </c>
      <c r="N14" s="8"/>
      <c r="O14" s="11"/>
      <c r="P14" s="8" t="s">
        <v>33</v>
      </c>
      <c r="Q14" s="8" t="s">
        <v>34</v>
      </c>
      <c r="R14" s="8" t="s">
        <v>35</v>
      </c>
      <c r="S14" s="6">
        <f>IF($C14="","",IFERROR(INDEX(Lists!$B$5:$B$16,MATCH(J14,Lists!$A$5:$A$16,0)),0)+IFERROR(INDEX(Lists!$E$5:$E$8,MATCH(K14,Lists!$D$5:$D$8,0)),0)+IFERROR(INDEX(Lists!$H$5:$H$11,MATCH(M14,Lists!$G$5:$G$11,0)),0)+IFERROR(INDEX(Lists!$K$5:$K$9,MATCH(P14,Lists!$J$5:$J$9,0)),0))</f>
        <v>49</v>
      </c>
      <c r="T14" s="6" t="str">
        <f t="shared" si="1"/>
        <v>Cold</v>
      </c>
      <c r="U14" s="11" t="s">
        <v>36</v>
      </c>
      <c r="V14" s="7"/>
      <c r="W14" s="8" t="s">
        <v>37</v>
      </c>
      <c r="X14" s="11" t="s">
        <v>82</v>
      </c>
    </row>
    <row r="15" spans="1:24" ht="63.75" x14ac:dyDescent="0.25">
      <c r="A15" s="6" t="str">
        <f t="shared" si="0"/>
        <v>L-011</v>
      </c>
      <c r="B15" s="7">
        <v>46304</v>
      </c>
      <c r="C15" s="8" t="s">
        <v>83</v>
      </c>
      <c r="D15" s="8"/>
      <c r="E15" s="8"/>
      <c r="F15" s="9" t="s">
        <v>84</v>
      </c>
      <c r="G15" s="8" t="s">
        <v>85</v>
      </c>
      <c r="H15" s="8" t="s">
        <v>86</v>
      </c>
      <c r="I15" s="8" t="s">
        <v>30</v>
      </c>
      <c r="J15" s="8" t="s">
        <v>76</v>
      </c>
      <c r="K15" s="8" t="s">
        <v>32</v>
      </c>
      <c r="L15" s="10"/>
      <c r="M15" s="8" t="s">
        <v>32</v>
      </c>
      <c r="N15" s="8"/>
      <c r="O15" s="11"/>
      <c r="P15" s="8" t="s">
        <v>33</v>
      </c>
      <c r="Q15" s="8" t="s">
        <v>34</v>
      </c>
      <c r="R15" s="8" t="s">
        <v>35</v>
      </c>
      <c r="S15" s="6">
        <f>IF($C15="","",IFERROR(INDEX(Lists!$B$5:$B$16,MATCH(J15,Lists!$A$5:$A$16,0)),0)+IFERROR(INDEX(Lists!$E$5:$E$8,MATCH(K15,Lists!$D$5:$D$8,0)),0)+IFERROR(INDEX(Lists!$H$5:$H$11,MATCH(M15,Lists!$G$5:$G$11,0)),0)+IFERROR(INDEX(Lists!$K$5:$K$9,MATCH(P15,Lists!$J$5:$J$9,0)),0))</f>
        <v>49</v>
      </c>
      <c r="T15" s="6" t="str">
        <f t="shared" si="1"/>
        <v>Cold</v>
      </c>
      <c r="U15" s="11" t="s">
        <v>36</v>
      </c>
      <c r="V15" s="7"/>
      <c r="W15" s="8" t="s">
        <v>37</v>
      </c>
      <c r="X15" s="11" t="s">
        <v>87</v>
      </c>
    </row>
    <row r="16" spans="1:24" ht="89.25" x14ac:dyDescent="0.25">
      <c r="A16" s="6" t="str">
        <f t="shared" si="0"/>
        <v>L-012</v>
      </c>
      <c r="B16" s="7">
        <v>46304</v>
      </c>
      <c r="C16" s="8" t="s">
        <v>88</v>
      </c>
      <c r="D16" s="8"/>
      <c r="E16" s="8"/>
      <c r="F16" s="9" t="s">
        <v>89</v>
      </c>
      <c r="G16" s="8" t="s">
        <v>90</v>
      </c>
      <c r="H16" s="8" t="s">
        <v>91</v>
      </c>
      <c r="I16" s="8" t="s">
        <v>30</v>
      </c>
      <c r="J16" s="8" t="s">
        <v>31</v>
      </c>
      <c r="K16" s="8" t="s">
        <v>32</v>
      </c>
      <c r="L16" s="10"/>
      <c r="M16" s="8" t="s">
        <v>32</v>
      </c>
      <c r="N16" s="8"/>
      <c r="O16" s="11"/>
      <c r="P16" s="8" t="s">
        <v>33</v>
      </c>
      <c r="Q16" s="8" t="s">
        <v>34</v>
      </c>
      <c r="R16" s="8" t="s">
        <v>35</v>
      </c>
      <c r="S16" s="6">
        <f>IF($C16="","",IFERROR(INDEX(Lists!$B$5:$B$16,MATCH(J16,Lists!$A$5:$A$16,0)),0)+IFERROR(INDEX(Lists!$E$5:$E$8,MATCH(K16,Lists!$D$5:$D$8,0)),0)+IFERROR(INDEX(Lists!$H$5:$H$11,MATCH(M16,Lists!$G$5:$G$11,0)),0)+IFERROR(INDEX(Lists!$K$5:$K$9,MATCH(P16,Lists!$J$5:$J$9,0)),0))</f>
        <v>57</v>
      </c>
      <c r="T16" s="6" t="str">
        <f t="shared" si="1"/>
        <v>Warm</v>
      </c>
      <c r="U16" s="11" t="s">
        <v>36</v>
      </c>
      <c r="V16" s="7"/>
      <c r="W16" s="8" t="s">
        <v>37</v>
      </c>
      <c r="X16" s="11" t="s">
        <v>92</v>
      </c>
    </row>
    <row r="17" spans="1:24" ht="76.5" x14ac:dyDescent="0.25">
      <c r="A17" s="6" t="str">
        <f t="shared" si="0"/>
        <v>L-013</v>
      </c>
      <c r="B17" s="7">
        <v>46304</v>
      </c>
      <c r="C17" s="8" t="s">
        <v>93</v>
      </c>
      <c r="D17" s="8"/>
      <c r="E17" s="8"/>
      <c r="F17" s="9" t="s">
        <v>94</v>
      </c>
      <c r="G17" s="8" t="s">
        <v>95</v>
      </c>
      <c r="H17" s="8" t="s">
        <v>71</v>
      </c>
      <c r="I17" s="8" t="s">
        <v>30</v>
      </c>
      <c r="J17" s="8" t="s">
        <v>96</v>
      </c>
      <c r="K17" s="8" t="s">
        <v>32</v>
      </c>
      <c r="L17" s="10"/>
      <c r="M17" s="8" t="s">
        <v>32</v>
      </c>
      <c r="N17" s="8"/>
      <c r="O17" s="11"/>
      <c r="P17" s="8" t="s">
        <v>33</v>
      </c>
      <c r="Q17" s="8" t="s">
        <v>34</v>
      </c>
      <c r="R17" s="8" t="s">
        <v>35</v>
      </c>
      <c r="S17" s="6">
        <f>IF($C17="","",IFERROR(INDEX(Lists!$B$5:$B$16,MATCH(J17,Lists!$A$5:$A$16,0)),0)+IFERROR(INDEX(Lists!$E$5:$E$8,MATCH(K17,Lists!$D$5:$D$8,0)),0)+IFERROR(INDEX(Lists!$H$5:$H$11,MATCH(M17,Lists!$G$5:$G$11,0)),0)+IFERROR(INDEX(Lists!$K$5:$K$9,MATCH(P17,Lists!$J$5:$J$9,0)),0))</f>
        <v>49</v>
      </c>
      <c r="T17" s="6" t="str">
        <f t="shared" si="1"/>
        <v>Cold</v>
      </c>
      <c r="U17" s="11" t="s">
        <v>36</v>
      </c>
      <c r="V17" s="7"/>
      <c r="W17" s="8" t="s">
        <v>37</v>
      </c>
      <c r="X17" s="11" t="s">
        <v>97</v>
      </c>
    </row>
    <row r="18" spans="1:24" ht="63.75" x14ac:dyDescent="0.25">
      <c r="A18" s="6" t="str">
        <f t="shared" si="0"/>
        <v>L-014</v>
      </c>
      <c r="B18" s="7">
        <v>46304</v>
      </c>
      <c r="C18" s="8" t="s">
        <v>98</v>
      </c>
      <c r="D18" s="8"/>
      <c r="E18" s="8"/>
      <c r="F18" s="9" t="s">
        <v>99</v>
      </c>
      <c r="G18" s="8" t="s">
        <v>100</v>
      </c>
      <c r="H18" s="8" t="s">
        <v>42</v>
      </c>
      <c r="I18" s="8" t="s">
        <v>30</v>
      </c>
      <c r="J18" s="8" t="s">
        <v>96</v>
      </c>
      <c r="K18" s="8" t="s">
        <v>32</v>
      </c>
      <c r="L18" s="10"/>
      <c r="M18" s="8" t="s">
        <v>32</v>
      </c>
      <c r="N18" s="8"/>
      <c r="O18" s="11"/>
      <c r="P18" s="8" t="s">
        <v>33</v>
      </c>
      <c r="Q18" s="8" t="s">
        <v>34</v>
      </c>
      <c r="R18" s="8" t="s">
        <v>35</v>
      </c>
      <c r="S18" s="6">
        <f>IF($C18="","",IFERROR(INDEX(Lists!$B$5:$B$16,MATCH(J18,Lists!$A$5:$A$16,0)),0)+IFERROR(INDEX(Lists!$E$5:$E$8,MATCH(K18,Lists!$D$5:$D$8,0)),0)+IFERROR(INDEX(Lists!$H$5:$H$11,MATCH(M18,Lists!$G$5:$G$11,0)),0)+IFERROR(INDEX(Lists!$K$5:$K$9,MATCH(P18,Lists!$J$5:$J$9,0)),0))</f>
        <v>49</v>
      </c>
      <c r="T18" s="6" t="str">
        <f t="shared" si="1"/>
        <v>Cold</v>
      </c>
      <c r="U18" s="11" t="s">
        <v>36</v>
      </c>
      <c r="V18" s="7"/>
      <c r="W18" s="8" t="s">
        <v>37</v>
      </c>
      <c r="X18" s="11" t="s">
        <v>101</v>
      </c>
    </row>
    <row r="19" spans="1:24" ht="76.5" x14ac:dyDescent="0.25">
      <c r="A19" s="6" t="str">
        <f t="shared" si="0"/>
        <v>L-015</v>
      </c>
      <c r="B19" s="7">
        <v>46304</v>
      </c>
      <c r="C19" s="8" t="s">
        <v>102</v>
      </c>
      <c r="D19" s="8"/>
      <c r="E19" s="8"/>
      <c r="F19" s="9" t="s">
        <v>103</v>
      </c>
      <c r="G19" s="8" t="s">
        <v>104</v>
      </c>
      <c r="H19" s="8" t="s">
        <v>105</v>
      </c>
      <c r="I19" s="8" t="s">
        <v>30</v>
      </c>
      <c r="J19" s="8" t="s">
        <v>96</v>
      </c>
      <c r="K19" s="8" t="s">
        <v>32</v>
      </c>
      <c r="L19" s="10"/>
      <c r="M19" s="8" t="s">
        <v>32</v>
      </c>
      <c r="N19" s="8"/>
      <c r="O19" s="11"/>
      <c r="P19" s="8" t="s">
        <v>33</v>
      </c>
      <c r="Q19" s="8" t="s">
        <v>34</v>
      </c>
      <c r="R19" s="8" t="s">
        <v>35</v>
      </c>
      <c r="S19" s="6">
        <f>IF($C19="","",IFERROR(INDEX(Lists!$B$5:$B$16,MATCH(J19,Lists!$A$5:$A$16,0)),0)+IFERROR(INDEX(Lists!$E$5:$E$8,MATCH(K19,Lists!$D$5:$D$8,0)),0)+IFERROR(INDEX(Lists!$H$5:$H$11,MATCH(M19,Lists!$G$5:$G$11,0)),0)+IFERROR(INDEX(Lists!$K$5:$K$9,MATCH(P19,Lists!$J$5:$J$9,0)),0))</f>
        <v>49</v>
      </c>
      <c r="T19" s="6" t="str">
        <f t="shared" si="1"/>
        <v>Cold</v>
      </c>
      <c r="U19" s="11" t="s">
        <v>36</v>
      </c>
      <c r="V19" s="7"/>
      <c r="W19" s="8" t="s">
        <v>37</v>
      </c>
      <c r="X19" s="11" t="s">
        <v>106</v>
      </c>
    </row>
    <row r="20" spans="1:24" ht="89.25" x14ac:dyDescent="0.25">
      <c r="A20" s="6" t="str">
        <f t="shared" si="0"/>
        <v>L-016</v>
      </c>
      <c r="B20" s="7">
        <v>46304</v>
      </c>
      <c r="C20" s="8" t="s">
        <v>107</v>
      </c>
      <c r="D20" s="8"/>
      <c r="E20" s="8"/>
      <c r="F20" s="9" t="s">
        <v>108</v>
      </c>
      <c r="G20" s="8" t="s">
        <v>109</v>
      </c>
      <c r="H20" s="8" t="s">
        <v>110</v>
      </c>
      <c r="I20" s="8" t="s">
        <v>30</v>
      </c>
      <c r="J20" s="8" t="s">
        <v>96</v>
      </c>
      <c r="K20" s="8" t="s">
        <v>32</v>
      </c>
      <c r="L20" s="10"/>
      <c r="M20" s="8" t="s">
        <v>32</v>
      </c>
      <c r="N20" s="8"/>
      <c r="O20" s="11"/>
      <c r="P20" s="8" t="s">
        <v>33</v>
      </c>
      <c r="Q20" s="8" t="s">
        <v>34</v>
      </c>
      <c r="R20" s="8" t="s">
        <v>35</v>
      </c>
      <c r="S20" s="6">
        <f>IF($C20="","",IFERROR(INDEX(Lists!$B$5:$B$16,MATCH(J20,Lists!$A$5:$A$16,0)),0)+IFERROR(INDEX(Lists!$E$5:$E$8,MATCH(K20,Lists!$D$5:$D$8,0)),0)+IFERROR(INDEX(Lists!$H$5:$H$11,MATCH(M20,Lists!$G$5:$G$11,0)),0)+IFERROR(INDEX(Lists!$K$5:$K$9,MATCH(P20,Lists!$J$5:$J$9,0)),0))</f>
        <v>49</v>
      </c>
      <c r="T20" s="6" t="str">
        <f t="shared" si="1"/>
        <v>Cold</v>
      </c>
      <c r="U20" s="11" t="s">
        <v>36</v>
      </c>
      <c r="V20" s="7"/>
      <c r="W20" s="8" t="s">
        <v>37</v>
      </c>
      <c r="X20" s="11" t="s">
        <v>111</v>
      </c>
    </row>
    <row r="21" spans="1:24" ht="76.5" x14ac:dyDescent="0.25">
      <c r="A21" s="6" t="str">
        <f t="shared" si="0"/>
        <v>L-017</v>
      </c>
      <c r="B21" s="7">
        <v>46304</v>
      </c>
      <c r="C21" s="8" t="s">
        <v>112</v>
      </c>
      <c r="D21" s="8"/>
      <c r="E21" s="8"/>
      <c r="F21" s="9" t="s">
        <v>113</v>
      </c>
      <c r="G21" s="8" t="s">
        <v>114</v>
      </c>
      <c r="H21" s="8" t="s">
        <v>115</v>
      </c>
      <c r="I21" s="8" t="s">
        <v>30</v>
      </c>
      <c r="J21" s="8" t="s">
        <v>96</v>
      </c>
      <c r="K21" s="8" t="s">
        <v>32</v>
      </c>
      <c r="L21" s="10"/>
      <c r="M21" s="8" t="s">
        <v>32</v>
      </c>
      <c r="N21" s="8"/>
      <c r="O21" s="11"/>
      <c r="P21" s="8" t="s">
        <v>33</v>
      </c>
      <c r="Q21" s="8" t="s">
        <v>34</v>
      </c>
      <c r="R21" s="8" t="s">
        <v>35</v>
      </c>
      <c r="S21" s="6">
        <f>IF($C21="","",IFERROR(INDEX(Lists!$B$5:$B$16,MATCH(J21,Lists!$A$5:$A$16,0)),0)+IFERROR(INDEX(Lists!$E$5:$E$8,MATCH(K21,Lists!$D$5:$D$8,0)),0)+IFERROR(INDEX(Lists!$H$5:$H$11,MATCH(M21,Lists!$G$5:$G$11,0)),0)+IFERROR(INDEX(Lists!$K$5:$K$9,MATCH(P21,Lists!$J$5:$J$9,0)),0))</f>
        <v>49</v>
      </c>
      <c r="T21" s="6" t="str">
        <f t="shared" si="1"/>
        <v>Cold</v>
      </c>
      <c r="U21" s="11" t="s">
        <v>36</v>
      </c>
      <c r="V21" s="7"/>
      <c r="W21" s="8" t="s">
        <v>37</v>
      </c>
      <c r="X21" s="11" t="s">
        <v>116</v>
      </c>
    </row>
    <row r="22" spans="1:24" ht="89.25" x14ac:dyDescent="0.25">
      <c r="A22" s="6" t="str">
        <f t="shared" si="0"/>
        <v>L-018</v>
      </c>
      <c r="B22" s="7">
        <v>46304</v>
      </c>
      <c r="C22" s="8" t="s">
        <v>117</v>
      </c>
      <c r="D22" s="8"/>
      <c r="E22" s="8"/>
      <c r="F22" s="9" t="s">
        <v>118</v>
      </c>
      <c r="G22" s="8" t="s">
        <v>119</v>
      </c>
      <c r="H22" s="8" t="s">
        <v>120</v>
      </c>
      <c r="I22" s="8" t="s">
        <v>30</v>
      </c>
      <c r="J22" s="8" t="s">
        <v>96</v>
      </c>
      <c r="K22" s="8" t="s">
        <v>32</v>
      </c>
      <c r="L22" s="10"/>
      <c r="M22" s="8" t="s">
        <v>32</v>
      </c>
      <c r="N22" s="8"/>
      <c r="O22" s="11"/>
      <c r="P22" s="8" t="s">
        <v>33</v>
      </c>
      <c r="Q22" s="8" t="s">
        <v>34</v>
      </c>
      <c r="R22" s="8" t="s">
        <v>35</v>
      </c>
      <c r="S22" s="6">
        <f>IF($C22="","",IFERROR(INDEX(Lists!$B$5:$B$16,MATCH(J22,Lists!$A$5:$A$16,0)),0)+IFERROR(INDEX(Lists!$E$5:$E$8,MATCH(K22,Lists!$D$5:$D$8,0)),0)+IFERROR(INDEX(Lists!$H$5:$H$11,MATCH(M22,Lists!$G$5:$G$11,0)),0)+IFERROR(INDEX(Lists!$K$5:$K$9,MATCH(P22,Lists!$J$5:$J$9,0)),0))</f>
        <v>49</v>
      </c>
      <c r="T22" s="6" t="str">
        <f t="shared" si="1"/>
        <v>Cold</v>
      </c>
      <c r="U22" s="11" t="s">
        <v>36</v>
      </c>
      <c r="V22" s="7"/>
      <c r="W22" s="8" t="s">
        <v>37</v>
      </c>
      <c r="X22" s="11" t="s">
        <v>121</v>
      </c>
    </row>
    <row r="23" spans="1:24" ht="63.75" x14ac:dyDescent="0.25">
      <c r="A23" s="6" t="str">
        <f t="shared" si="0"/>
        <v>L-019</v>
      </c>
      <c r="B23" s="7">
        <v>46304</v>
      </c>
      <c r="C23" s="8" t="s">
        <v>122</v>
      </c>
      <c r="D23" s="8"/>
      <c r="E23" s="8"/>
      <c r="F23" s="9" t="s">
        <v>123</v>
      </c>
      <c r="G23" s="8" t="s">
        <v>124</v>
      </c>
      <c r="H23" s="8" t="s">
        <v>110</v>
      </c>
      <c r="I23" s="8" t="s">
        <v>30</v>
      </c>
      <c r="J23" s="8" t="s">
        <v>96</v>
      </c>
      <c r="K23" s="8" t="s">
        <v>32</v>
      </c>
      <c r="L23" s="10"/>
      <c r="M23" s="8" t="s">
        <v>32</v>
      </c>
      <c r="N23" s="8"/>
      <c r="O23" s="11"/>
      <c r="P23" s="8" t="s">
        <v>33</v>
      </c>
      <c r="Q23" s="8" t="s">
        <v>34</v>
      </c>
      <c r="R23" s="8" t="s">
        <v>35</v>
      </c>
      <c r="S23" s="6">
        <f>IF($C23="","",IFERROR(INDEX(Lists!$B$5:$B$16,MATCH(J23,Lists!$A$5:$A$16,0)),0)+IFERROR(INDEX(Lists!$E$5:$E$8,MATCH(K23,Lists!$D$5:$D$8,0)),0)+IFERROR(INDEX(Lists!$H$5:$H$11,MATCH(M23,Lists!$G$5:$G$11,0)),0)+IFERROR(INDEX(Lists!$K$5:$K$9,MATCH(P23,Lists!$J$5:$J$9,0)),0))</f>
        <v>49</v>
      </c>
      <c r="T23" s="6" t="str">
        <f t="shared" si="1"/>
        <v>Cold</v>
      </c>
      <c r="U23" s="11" t="s">
        <v>36</v>
      </c>
      <c r="V23" s="7"/>
      <c r="W23" s="8" t="s">
        <v>37</v>
      </c>
      <c r="X23" s="11" t="s">
        <v>125</v>
      </c>
    </row>
    <row r="24" spans="1:24" x14ac:dyDescent="0.25">
      <c r="A24" s="6" t="str">
        <f t="shared" si="0"/>
        <v/>
      </c>
      <c r="B24" s="7"/>
      <c r="C24" s="8"/>
      <c r="D24" s="8"/>
      <c r="E24" s="8"/>
      <c r="F24" s="9"/>
      <c r="G24" s="8"/>
      <c r="H24" s="8"/>
      <c r="I24" s="8"/>
      <c r="J24" s="8"/>
      <c r="K24" s="8"/>
      <c r="L24" s="10"/>
      <c r="M24" s="8"/>
      <c r="N24" s="8"/>
      <c r="O24" s="11"/>
      <c r="P24" s="8"/>
      <c r="Q24" s="8"/>
      <c r="R24" s="8"/>
      <c r="S24" s="6" t="str">
        <f>IF($C24="","",IFERROR(INDEX(Lists!$B$5:$B$16,MATCH(J24,Lists!$A$5:$A$16,0)),0)+IFERROR(INDEX(Lists!$E$5:$E$8,MATCH(K24,Lists!$D$5:$D$8,0)),0)+IFERROR(INDEX(Lists!$H$5:$H$11,MATCH(M24,Lists!$G$5:$G$11,0)),0)+IFERROR(INDEX(Lists!$K$5:$K$9,MATCH(P24,Lists!$J$5:$J$9,0)),0))</f>
        <v/>
      </c>
      <c r="T24" s="6" t="str">
        <f t="shared" si="1"/>
        <v/>
      </c>
      <c r="U24" s="11"/>
      <c r="V24" s="7"/>
      <c r="W24" s="8"/>
      <c r="X24" s="11"/>
    </row>
    <row r="25" spans="1:24" x14ac:dyDescent="0.25">
      <c r="A25" s="6" t="str">
        <f t="shared" si="0"/>
        <v/>
      </c>
      <c r="B25" s="7"/>
      <c r="C25" s="8"/>
      <c r="D25" s="8"/>
      <c r="E25" s="8"/>
      <c r="F25" s="9"/>
      <c r="G25" s="8"/>
      <c r="H25" s="8"/>
      <c r="I25" s="8"/>
      <c r="J25" s="8"/>
      <c r="K25" s="8"/>
      <c r="L25" s="10"/>
      <c r="M25" s="8"/>
      <c r="N25" s="8"/>
      <c r="O25" s="11"/>
      <c r="P25" s="8"/>
      <c r="Q25" s="8"/>
      <c r="R25" s="8"/>
      <c r="S25" s="6" t="str">
        <f>IF($C25="","",IFERROR(INDEX(Lists!$B$5:$B$16,MATCH(J25,Lists!$A$5:$A$16,0)),0)+IFERROR(INDEX(Lists!$E$5:$E$8,MATCH(K25,Lists!$D$5:$D$8,0)),0)+IFERROR(INDEX(Lists!$H$5:$H$11,MATCH(M25,Lists!$G$5:$G$11,0)),0)+IFERROR(INDEX(Lists!$K$5:$K$9,MATCH(P25,Lists!$J$5:$J$9,0)),0))</f>
        <v/>
      </c>
      <c r="T25" s="6" t="str">
        <f t="shared" si="1"/>
        <v/>
      </c>
      <c r="U25" s="11"/>
      <c r="V25" s="7"/>
      <c r="W25" s="8"/>
      <c r="X25" s="11"/>
    </row>
    <row r="26" spans="1:24" x14ac:dyDescent="0.25">
      <c r="A26" s="6" t="str">
        <f t="shared" si="0"/>
        <v/>
      </c>
      <c r="B26" s="7"/>
      <c r="C26" s="8"/>
      <c r="D26" s="8"/>
      <c r="E26" s="8"/>
      <c r="F26" s="9"/>
      <c r="G26" s="8"/>
      <c r="H26" s="8"/>
      <c r="I26" s="8"/>
      <c r="J26" s="8"/>
      <c r="K26" s="8"/>
      <c r="L26" s="10"/>
      <c r="M26" s="8"/>
      <c r="N26" s="8"/>
      <c r="O26" s="11"/>
      <c r="P26" s="8"/>
      <c r="Q26" s="8"/>
      <c r="R26" s="8"/>
      <c r="S26" s="6" t="str">
        <f>IF($C26="","",IFERROR(INDEX(Lists!$B$5:$B$16,MATCH(J26,Lists!$A$5:$A$16,0)),0)+IFERROR(INDEX(Lists!$E$5:$E$8,MATCH(K26,Lists!$D$5:$D$8,0)),0)+IFERROR(INDEX(Lists!$H$5:$H$11,MATCH(M26,Lists!$G$5:$G$11,0)),0)+IFERROR(INDEX(Lists!$K$5:$K$9,MATCH(P26,Lists!$J$5:$J$9,0)),0))</f>
        <v/>
      </c>
      <c r="T26" s="6" t="str">
        <f t="shared" si="1"/>
        <v/>
      </c>
      <c r="U26" s="11"/>
      <c r="V26" s="7"/>
      <c r="W26" s="8"/>
      <c r="X26" s="11"/>
    </row>
    <row r="27" spans="1:24" x14ac:dyDescent="0.25">
      <c r="A27" s="6" t="str">
        <f t="shared" si="0"/>
        <v/>
      </c>
      <c r="B27" s="7"/>
      <c r="C27" s="8"/>
      <c r="D27" s="8"/>
      <c r="E27" s="8"/>
      <c r="F27" s="9"/>
      <c r="G27" s="8"/>
      <c r="H27" s="8"/>
      <c r="I27" s="8"/>
      <c r="J27" s="8"/>
      <c r="K27" s="8"/>
      <c r="L27" s="10"/>
      <c r="M27" s="8"/>
      <c r="N27" s="8"/>
      <c r="O27" s="11"/>
      <c r="P27" s="8"/>
      <c r="Q27" s="8"/>
      <c r="R27" s="8"/>
      <c r="S27" s="6" t="str">
        <f>IF($C27="","",IFERROR(INDEX(Lists!$B$5:$B$16,MATCH(J27,Lists!$A$5:$A$16,0)),0)+IFERROR(INDEX(Lists!$E$5:$E$8,MATCH(K27,Lists!$D$5:$D$8,0)),0)+IFERROR(INDEX(Lists!$H$5:$H$11,MATCH(M27,Lists!$G$5:$G$11,0)),0)+IFERROR(INDEX(Lists!$K$5:$K$9,MATCH(P27,Lists!$J$5:$J$9,0)),0))</f>
        <v/>
      </c>
      <c r="T27" s="6" t="str">
        <f t="shared" si="1"/>
        <v/>
      </c>
      <c r="U27" s="11"/>
      <c r="V27" s="7"/>
      <c r="W27" s="8"/>
      <c r="X27" s="11"/>
    </row>
    <row r="28" spans="1:24" x14ac:dyDescent="0.25">
      <c r="A28" s="6" t="str">
        <f t="shared" si="0"/>
        <v/>
      </c>
      <c r="B28" s="7"/>
      <c r="C28" s="8"/>
      <c r="D28" s="8"/>
      <c r="E28" s="8"/>
      <c r="F28" s="9"/>
      <c r="G28" s="8"/>
      <c r="H28" s="8"/>
      <c r="I28" s="8"/>
      <c r="J28" s="8"/>
      <c r="K28" s="8"/>
      <c r="L28" s="10"/>
      <c r="M28" s="8"/>
      <c r="N28" s="8"/>
      <c r="O28" s="11"/>
      <c r="P28" s="8"/>
      <c r="Q28" s="8"/>
      <c r="R28" s="8"/>
      <c r="S28" s="6" t="str">
        <f>IF($C28="","",IFERROR(INDEX(Lists!$B$5:$B$16,MATCH(J28,Lists!$A$5:$A$16,0)),0)+IFERROR(INDEX(Lists!$E$5:$E$8,MATCH(K28,Lists!$D$5:$D$8,0)),0)+IFERROR(INDEX(Lists!$H$5:$H$11,MATCH(M28,Lists!$G$5:$G$11,0)),0)+IFERROR(INDEX(Lists!$K$5:$K$9,MATCH(P28,Lists!$J$5:$J$9,0)),0))</f>
        <v/>
      </c>
      <c r="T28" s="6" t="str">
        <f t="shared" si="1"/>
        <v/>
      </c>
      <c r="U28" s="11"/>
      <c r="V28" s="7"/>
      <c r="W28" s="8"/>
      <c r="X28" s="11"/>
    </row>
    <row r="29" spans="1:24" x14ac:dyDescent="0.25">
      <c r="A29" s="6" t="str">
        <f t="shared" si="0"/>
        <v/>
      </c>
      <c r="B29" s="7"/>
      <c r="C29" s="8"/>
      <c r="D29" s="8"/>
      <c r="E29" s="8"/>
      <c r="F29" s="9"/>
      <c r="G29" s="8"/>
      <c r="H29" s="8"/>
      <c r="I29" s="8"/>
      <c r="J29" s="8"/>
      <c r="K29" s="8"/>
      <c r="L29" s="10"/>
      <c r="M29" s="8"/>
      <c r="N29" s="8"/>
      <c r="O29" s="11"/>
      <c r="P29" s="8"/>
      <c r="Q29" s="8"/>
      <c r="R29" s="8"/>
      <c r="S29" s="6" t="str">
        <f>IF($C29="","",IFERROR(INDEX(Lists!$B$5:$B$16,MATCH(J29,Lists!$A$5:$A$16,0)),0)+IFERROR(INDEX(Lists!$E$5:$E$8,MATCH(K29,Lists!$D$5:$D$8,0)),0)+IFERROR(INDEX(Lists!$H$5:$H$11,MATCH(M29,Lists!$G$5:$G$11,0)),0)+IFERROR(INDEX(Lists!$K$5:$K$9,MATCH(P29,Lists!$J$5:$J$9,0)),0))</f>
        <v/>
      </c>
      <c r="T29" s="6" t="str">
        <f t="shared" si="1"/>
        <v/>
      </c>
      <c r="U29" s="11"/>
      <c r="V29" s="7"/>
      <c r="W29" s="8"/>
      <c r="X29" s="11"/>
    </row>
    <row r="30" spans="1:24" x14ac:dyDescent="0.25">
      <c r="A30" s="6" t="str">
        <f t="shared" si="0"/>
        <v/>
      </c>
      <c r="B30" s="7"/>
      <c r="C30" s="8"/>
      <c r="D30" s="8"/>
      <c r="E30" s="8"/>
      <c r="F30" s="9"/>
      <c r="G30" s="8"/>
      <c r="H30" s="8"/>
      <c r="I30" s="8"/>
      <c r="J30" s="8"/>
      <c r="K30" s="8"/>
      <c r="L30" s="10"/>
      <c r="M30" s="8"/>
      <c r="N30" s="8"/>
      <c r="O30" s="11"/>
      <c r="P30" s="8"/>
      <c r="Q30" s="8"/>
      <c r="R30" s="8"/>
      <c r="S30" s="6" t="str">
        <f>IF($C30="","",IFERROR(INDEX(Lists!$B$5:$B$16,MATCH(J30,Lists!$A$5:$A$16,0)),0)+IFERROR(INDEX(Lists!$E$5:$E$8,MATCH(K30,Lists!$D$5:$D$8,0)),0)+IFERROR(INDEX(Lists!$H$5:$H$11,MATCH(M30,Lists!$G$5:$G$11,0)),0)+IFERROR(INDEX(Lists!$K$5:$K$9,MATCH(P30,Lists!$J$5:$J$9,0)),0))</f>
        <v/>
      </c>
      <c r="T30" s="6" t="str">
        <f t="shared" si="1"/>
        <v/>
      </c>
      <c r="U30" s="11"/>
      <c r="V30" s="7"/>
      <c r="W30" s="8"/>
      <c r="X30" s="11"/>
    </row>
    <row r="31" spans="1:24" x14ac:dyDescent="0.25">
      <c r="A31" s="6" t="str">
        <f t="shared" si="0"/>
        <v/>
      </c>
      <c r="B31" s="7"/>
      <c r="C31" s="8"/>
      <c r="D31" s="8"/>
      <c r="E31" s="8"/>
      <c r="F31" s="9"/>
      <c r="G31" s="8"/>
      <c r="H31" s="8"/>
      <c r="I31" s="8"/>
      <c r="J31" s="8"/>
      <c r="K31" s="8"/>
      <c r="L31" s="10"/>
      <c r="M31" s="8"/>
      <c r="N31" s="8"/>
      <c r="O31" s="11"/>
      <c r="P31" s="8"/>
      <c r="Q31" s="8"/>
      <c r="R31" s="8"/>
      <c r="S31" s="6" t="str">
        <f>IF($C31="","",IFERROR(INDEX(Lists!$B$5:$B$16,MATCH(J31,Lists!$A$5:$A$16,0)),0)+IFERROR(INDEX(Lists!$E$5:$E$8,MATCH(K31,Lists!$D$5:$D$8,0)),0)+IFERROR(INDEX(Lists!$H$5:$H$11,MATCH(M31,Lists!$G$5:$G$11,0)),0)+IFERROR(INDEX(Lists!$K$5:$K$9,MATCH(P31,Lists!$J$5:$J$9,0)),0))</f>
        <v/>
      </c>
      <c r="T31" s="6" t="str">
        <f t="shared" si="1"/>
        <v/>
      </c>
      <c r="U31" s="11"/>
      <c r="V31" s="7"/>
      <c r="W31" s="8"/>
      <c r="X31" s="11"/>
    </row>
    <row r="32" spans="1:24" x14ac:dyDescent="0.25">
      <c r="A32" s="6" t="str">
        <f t="shared" si="0"/>
        <v/>
      </c>
      <c r="B32" s="7"/>
      <c r="C32" s="8"/>
      <c r="D32" s="8"/>
      <c r="E32" s="8"/>
      <c r="F32" s="9"/>
      <c r="G32" s="8"/>
      <c r="H32" s="8"/>
      <c r="I32" s="8"/>
      <c r="J32" s="8"/>
      <c r="K32" s="8"/>
      <c r="L32" s="10"/>
      <c r="M32" s="8"/>
      <c r="N32" s="8"/>
      <c r="O32" s="11"/>
      <c r="P32" s="8"/>
      <c r="Q32" s="8"/>
      <c r="R32" s="8"/>
      <c r="S32" s="6" t="str">
        <f>IF($C32="","",IFERROR(INDEX(Lists!$B$5:$B$16,MATCH(J32,Lists!$A$5:$A$16,0)),0)+IFERROR(INDEX(Lists!$E$5:$E$8,MATCH(K32,Lists!$D$5:$D$8,0)),0)+IFERROR(INDEX(Lists!$H$5:$H$11,MATCH(M32,Lists!$G$5:$G$11,0)),0)+IFERROR(INDEX(Lists!$K$5:$K$9,MATCH(P32,Lists!$J$5:$J$9,0)),0))</f>
        <v/>
      </c>
      <c r="T32" s="6" t="str">
        <f t="shared" si="1"/>
        <v/>
      </c>
      <c r="U32" s="11"/>
      <c r="V32" s="7"/>
      <c r="W32" s="8"/>
      <c r="X32" s="11"/>
    </row>
    <row r="33" spans="1:24" x14ac:dyDescent="0.25">
      <c r="A33" s="6" t="str">
        <f t="shared" si="0"/>
        <v/>
      </c>
      <c r="B33" s="7"/>
      <c r="C33" s="8"/>
      <c r="D33" s="8"/>
      <c r="E33" s="8"/>
      <c r="F33" s="9"/>
      <c r="G33" s="8"/>
      <c r="H33" s="8"/>
      <c r="I33" s="8"/>
      <c r="J33" s="8"/>
      <c r="K33" s="8"/>
      <c r="L33" s="10"/>
      <c r="M33" s="8"/>
      <c r="N33" s="8"/>
      <c r="O33" s="11"/>
      <c r="P33" s="8"/>
      <c r="Q33" s="8"/>
      <c r="R33" s="8"/>
      <c r="S33" s="6" t="str">
        <f>IF($C33="","",IFERROR(INDEX(Lists!$B$5:$B$16,MATCH(J33,Lists!$A$5:$A$16,0)),0)+IFERROR(INDEX(Lists!$E$5:$E$8,MATCH(K33,Lists!$D$5:$D$8,0)),0)+IFERROR(INDEX(Lists!$H$5:$H$11,MATCH(M33,Lists!$G$5:$G$11,0)),0)+IFERROR(INDEX(Lists!$K$5:$K$9,MATCH(P33,Lists!$J$5:$J$9,0)),0))</f>
        <v/>
      </c>
      <c r="T33" s="6" t="str">
        <f t="shared" si="1"/>
        <v/>
      </c>
      <c r="U33" s="11"/>
      <c r="V33" s="7"/>
      <c r="W33" s="8"/>
      <c r="X33" s="11"/>
    </row>
    <row r="34" spans="1:24" x14ac:dyDescent="0.25">
      <c r="A34" s="6" t="str">
        <f t="shared" si="0"/>
        <v/>
      </c>
      <c r="B34" s="7"/>
      <c r="C34" s="8"/>
      <c r="D34" s="8"/>
      <c r="E34" s="8"/>
      <c r="F34" s="9"/>
      <c r="G34" s="8"/>
      <c r="H34" s="8"/>
      <c r="I34" s="8"/>
      <c r="J34" s="8"/>
      <c r="K34" s="8"/>
      <c r="L34" s="10"/>
      <c r="M34" s="8"/>
      <c r="N34" s="8"/>
      <c r="O34" s="11"/>
      <c r="P34" s="8"/>
      <c r="Q34" s="8"/>
      <c r="R34" s="8"/>
      <c r="S34" s="6" t="str">
        <f>IF($C34="","",IFERROR(INDEX(Lists!$B$5:$B$16,MATCH(J34,Lists!$A$5:$A$16,0)),0)+IFERROR(INDEX(Lists!$E$5:$E$8,MATCH(K34,Lists!$D$5:$D$8,0)),0)+IFERROR(INDEX(Lists!$H$5:$H$11,MATCH(M34,Lists!$G$5:$G$11,0)),0)+IFERROR(INDEX(Lists!$K$5:$K$9,MATCH(P34,Lists!$J$5:$J$9,0)),0))</f>
        <v/>
      </c>
      <c r="T34" s="6" t="str">
        <f t="shared" si="1"/>
        <v/>
      </c>
      <c r="U34" s="11"/>
      <c r="V34" s="7"/>
      <c r="W34" s="8"/>
      <c r="X34" s="11"/>
    </row>
    <row r="35" spans="1:24" x14ac:dyDescent="0.25">
      <c r="A35" s="6" t="str">
        <f t="shared" si="0"/>
        <v/>
      </c>
      <c r="B35" s="7"/>
      <c r="C35" s="8"/>
      <c r="D35" s="8"/>
      <c r="E35" s="8"/>
      <c r="F35" s="9"/>
      <c r="G35" s="8"/>
      <c r="H35" s="8"/>
      <c r="I35" s="8"/>
      <c r="J35" s="8"/>
      <c r="K35" s="8"/>
      <c r="L35" s="10"/>
      <c r="M35" s="8"/>
      <c r="N35" s="8"/>
      <c r="O35" s="11"/>
      <c r="P35" s="8"/>
      <c r="Q35" s="8"/>
      <c r="R35" s="8"/>
      <c r="S35" s="6" t="str">
        <f>IF($C35="","",IFERROR(INDEX(Lists!$B$5:$B$16,MATCH(J35,Lists!$A$5:$A$16,0)),0)+IFERROR(INDEX(Lists!$E$5:$E$8,MATCH(K35,Lists!$D$5:$D$8,0)),0)+IFERROR(INDEX(Lists!$H$5:$H$11,MATCH(M35,Lists!$G$5:$G$11,0)),0)+IFERROR(INDEX(Lists!$K$5:$K$9,MATCH(P35,Lists!$J$5:$J$9,0)),0))</f>
        <v/>
      </c>
      <c r="T35" s="6" t="str">
        <f t="shared" si="1"/>
        <v/>
      </c>
      <c r="U35" s="11"/>
      <c r="V35" s="7"/>
      <c r="W35" s="8"/>
      <c r="X35" s="11"/>
    </row>
    <row r="36" spans="1:24" x14ac:dyDescent="0.25">
      <c r="A36" s="6" t="str">
        <f t="shared" si="0"/>
        <v/>
      </c>
      <c r="B36" s="7"/>
      <c r="C36" s="8"/>
      <c r="D36" s="8"/>
      <c r="E36" s="8"/>
      <c r="F36" s="9"/>
      <c r="G36" s="8"/>
      <c r="H36" s="8"/>
      <c r="I36" s="8"/>
      <c r="J36" s="8"/>
      <c r="K36" s="8"/>
      <c r="L36" s="10"/>
      <c r="M36" s="8"/>
      <c r="N36" s="8"/>
      <c r="O36" s="11"/>
      <c r="P36" s="8"/>
      <c r="Q36" s="8"/>
      <c r="R36" s="8"/>
      <c r="S36" s="6" t="str">
        <f>IF($C36="","",IFERROR(INDEX(Lists!$B$5:$B$16,MATCH(J36,Lists!$A$5:$A$16,0)),0)+IFERROR(INDEX(Lists!$E$5:$E$8,MATCH(K36,Lists!$D$5:$D$8,0)),0)+IFERROR(INDEX(Lists!$H$5:$H$11,MATCH(M36,Lists!$G$5:$G$11,0)),0)+IFERROR(INDEX(Lists!$K$5:$K$9,MATCH(P36,Lists!$J$5:$J$9,0)),0))</f>
        <v/>
      </c>
      <c r="T36" s="6" t="str">
        <f t="shared" si="1"/>
        <v/>
      </c>
      <c r="U36" s="11"/>
      <c r="V36" s="7"/>
      <c r="W36" s="8"/>
      <c r="X36" s="11"/>
    </row>
    <row r="37" spans="1:24" x14ac:dyDescent="0.25">
      <c r="A37" s="6" t="str">
        <f t="shared" si="0"/>
        <v/>
      </c>
      <c r="B37" s="7"/>
      <c r="C37" s="8"/>
      <c r="D37" s="8"/>
      <c r="E37" s="8"/>
      <c r="F37" s="9"/>
      <c r="G37" s="8"/>
      <c r="H37" s="8"/>
      <c r="I37" s="8"/>
      <c r="J37" s="8"/>
      <c r="K37" s="8"/>
      <c r="L37" s="10"/>
      <c r="M37" s="8"/>
      <c r="N37" s="8"/>
      <c r="O37" s="11"/>
      <c r="P37" s="8"/>
      <c r="Q37" s="8"/>
      <c r="R37" s="8"/>
      <c r="S37" s="6" t="str">
        <f>IF($C37="","",IFERROR(INDEX(Lists!$B$5:$B$16,MATCH(J37,Lists!$A$5:$A$16,0)),0)+IFERROR(INDEX(Lists!$E$5:$E$8,MATCH(K37,Lists!$D$5:$D$8,0)),0)+IFERROR(INDEX(Lists!$H$5:$H$11,MATCH(M37,Lists!$G$5:$G$11,0)),0)+IFERROR(INDEX(Lists!$K$5:$K$9,MATCH(P37,Lists!$J$5:$J$9,0)),0))</f>
        <v/>
      </c>
      <c r="T37" s="6" t="str">
        <f t="shared" si="1"/>
        <v/>
      </c>
      <c r="U37" s="11"/>
      <c r="V37" s="7"/>
      <c r="W37" s="8"/>
      <c r="X37" s="11"/>
    </row>
    <row r="38" spans="1:24" x14ac:dyDescent="0.25">
      <c r="A38" s="6" t="str">
        <f t="shared" si="0"/>
        <v/>
      </c>
      <c r="B38" s="7"/>
      <c r="C38" s="8"/>
      <c r="D38" s="8"/>
      <c r="E38" s="8"/>
      <c r="F38" s="9"/>
      <c r="G38" s="8"/>
      <c r="H38" s="8"/>
      <c r="I38" s="8"/>
      <c r="J38" s="8"/>
      <c r="K38" s="8"/>
      <c r="L38" s="10"/>
      <c r="M38" s="8"/>
      <c r="N38" s="8"/>
      <c r="O38" s="11"/>
      <c r="P38" s="8"/>
      <c r="Q38" s="8"/>
      <c r="R38" s="8"/>
      <c r="S38" s="6" t="str">
        <f>IF($C38="","",IFERROR(INDEX(Lists!$B$5:$B$16,MATCH(J38,Lists!$A$5:$A$16,0)),0)+IFERROR(INDEX(Lists!$E$5:$E$8,MATCH(K38,Lists!$D$5:$D$8,0)),0)+IFERROR(INDEX(Lists!$H$5:$H$11,MATCH(M38,Lists!$G$5:$G$11,0)),0)+IFERROR(INDEX(Lists!$K$5:$K$9,MATCH(P38,Lists!$J$5:$J$9,0)),0))</f>
        <v/>
      </c>
      <c r="T38" s="6" t="str">
        <f t="shared" si="1"/>
        <v/>
      </c>
      <c r="U38" s="11"/>
      <c r="V38" s="7"/>
      <c r="W38" s="8"/>
      <c r="X38" s="11"/>
    </row>
    <row r="39" spans="1:24" x14ac:dyDescent="0.25">
      <c r="A39" s="6" t="str">
        <f t="shared" si="0"/>
        <v/>
      </c>
      <c r="B39" s="7"/>
      <c r="C39" s="8"/>
      <c r="D39" s="8"/>
      <c r="E39" s="8"/>
      <c r="F39" s="9"/>
      <c r="G39" s="8"/>
      <c r="H39" s="8"/>
      <c r="I39" s="8"/>
      <c r="J39" s="8"/>
      <c r="K39" s="8"/>
      <c r="L39" s="10"/>
      <c r="M39" s="8"/>
      <c r="N39" s="8"/>
      <c r="O39" s="11"/>
      <c r="P39" s="8"/>
      <c r="Q39" s="8"/>
      <c r="R39" s="8"/>
      <c r="S39" s="6" t="str">
        <f>IF($C39="","",IFERROR(INDEX(Lists!$B$5:$B$16,MATCH(J39,Lists!$A$5:$A$16,0)),0)+IFERROR(INDEX(Lists!$E$5:$E$8,MATCH(K39,Lists!$D$5:$D$8,0)),0)+IFERROR(INDEX(Lists!$H$5:$H$11,MATCH(M39,Lists!$G$5:$G$11,0)),0)+IFERROR(INDEX(Lists!$K$5:$K$9,MATCH(P39,Lists!$J$5:$J$9,0)),0))</f>
        <v/>
      </c>
      <c r="T39" s="6" t="str">
        <f t="shared" si="1"/>
        <v/>
      </c>
      <c r="U39" s="11"/>
      <c r="V39" s="7"/>
      <c r="W39" s="8"/>
      <c r="X39" s="11"/>
    </row>
    <row r="40" spans="1:24" x14ac:dyDescent="0.25">
      <c r="A40" s="6" t="str">
        <f t="shared" si="0"/>
        <v/>
      </c>
      <c r="B40" s="7"/>
      <c r="C40" s="8"/>
      <c r="D40" s="8"/>
      <c r="E40" s="8"/>
      <c r="F40" s="9"/>
      <c r="G40" s="8"/>
      <c r="H40" s="8"/>
      <c r="I40" s="8"/>
      <c r="J40" s="8"/>
      <c r="K40" s="8"/>
      <c r="L40" s="10"/>
      <c r="M40" s="8"/>
      <c r="N40" s="8"/>
      <c r="O40" s="11"/>
      <c r="P40" s="8"/>
      <c r="Q40" s="8"/>
      <c r="R40" s="8"/>
      <c r="S40" s="6" t="str">
        <f>IF($C40="","",IFERROR(INDEX(Lists!$B$5:$B$16,MATCH(J40,Lists!$A$5:$A$16,0)),0)+IFERROR(INDEX(Lists!$E$5:$E$8,MATCH(K40,Lists!$D$5:$D$8,0)),0)+IFERROR(INDEX(Lists!$H$5:$H$11,MATCH(M40,Lists!$G$5:$G$11,0)),0)+IFERROR(INDEX(Lists!$K$5:$K$9,MATCH(P40,Lists!$J$5:$J$9,0)),0))</f>
        <v/>
      </c>
      <c r="T40" s="6" t="str">
        <f t="shared" si="1"/>
        <v/>
      </c>
      <c r="U40" s="11"/>
      <c r="V40" s="7"/>
      <c r="W40" s="8"/>
      <c r="X40" s="11"/>
    </row>
    <row r="41" spans="1:24" x14ac:dyDescent="0.25">
      <c r="A41" s="6" t="str">
        <f t="shared" si="0"/>
        <v/>
      </c>
      <c r="B41" s="7"/>
      <c r="C41" s="8"/>
      <c r="D41" s="8"/>
      <c r="E41" s="8"/>
      <c r="F41" s="9"/>
      <c r="G41" s="8"/>
      <c r="H41" s="8"/>
      <c r="I41" s="8"/>
      <c r="J41" s="8"/>
      <c r="K41" s="8"/>
      <c r="L41" s="10"/>
      <c r="M41" s="8"/>
      <c r="N41" s="8"/>
      <c r="O41" s="11"/>
      <c r="P41" s="8"/>
      <c r="Q41" s="8"/>
      <c r="R41" s="8"/>
      <c r="S41" s="6" t="str">
        <f>IF($C41="","",IFERROR(INDEX(Lists!$B$5:$B$16,MATCH(J41,Lists!$A$5:$A$16,0)),0)+IFERROR(INDEX(Lists!$E$5:$E$8,MATCH(K41,Lists!$D$5:$D$8,0)),0)+IFERROR(INDEX(Lists!$H$5:$H$11,MATCH(M41,Lists!$G$5:$G$11,0)),0)+IFERROR(INDEX(Lists!$K$5:$K$9,MATCH(P41,Lists!$J$5:$J$9,0)),0))</f>
        <v/>
      </c>
      <c r="T41" s="6" t="str">
        <f t="shared" si="1"/>
        <v/>
      </c>
      <c r="U41" s="11"/>
      <c r="V41" s="7"/>
      <c r="W41" s="8"/>
      <c r="X41" s="11"/>
    </row>
    <row r="42" spans="1:24" x14ac:dyDescent="0.25">
      <c r="A42" s="6" t="str">
        <f t="shared" si="0"/>
        <v/>
      </c>
      <c r="B42" s="7"/>
      <c r="C42" s="8"/>
      <c r="D42" s="8"/>
      <c r="E42" s="8"/>
      <c r="F42" s="9"/>
      <c r="G42" s="8"/>
      <c r="H42" s="8"/>
      <c r="I42" s="8"/>
      <c r="J42" s="8"/>
      <c r="K42" s="8"/>
      <c r="L42" s="10"/>
      <c r="M42" s="8"/>
      <c r="N42" s="8"/>
      <c r="O42" s="11"/>
      <c r="P42" s="8"/>
      <c r="Q42" s="8"/>
      <c r="R42" s="8"/>
      <c r="S42" s="6" t="str">
        <f>IF($C42="","",IFERROR(INDEX(Lists!$B$5:$B$16,MATCH(J42,Lists!$A$5:$A$16,0)),0)+IFERROR(INDEX(Lists!$E$5:$E$8,MATCH(K42,Lists!$D$5:$D$8,0)),0)+IFERROR(INDEX(Lists!$H$5:$H$11,MATCH(M42,Lists!$G$5:$G$11,0)),0)+IFERROR(INDEX(Lists!$K$5:$K$9,MATCH(P42,Lists!$J$5:$J$9,0)),0))</f>
        <v/>
      </c>
      <c r="T42" s="6" t="str">
        <f t="shared" si="1"/>
        <v/>
      </c>
      <c r="U42" s="11"/>
      <c r="V42" s="7"/>
      <c r="W42" s="8"/>
      <c r="X42" s="11"/>
    </row>
    <row r="43" spans="1:24" x14ac:dyDescent="0.25">
      <c r="A43" s="6" t="str">
        <f t="shared" si="0"/>
        <v/>
      </c>
      <c r="B43" s="7"/>
      <c r="C43" s="8"/>
      <c r="D43" s="8"/>
      <c r="E43" s="8"/>
      <c r="F43" s="9"/>
      <c r="G43" s="8"/>
      <c r="H43" s="8"/>
      <c r="I43" s="8"/>
      <c r="J43" s="8"/>
      <c r="K43" s="8"/>
      <c r="L43" s="10"/>
      <c r="M43" s="8"/>
      <c r="N43" s="8"/>
      <c r="O43" s="11"/>
      <c r="P43" s="8"/>
      <c r="Q43" s="8"/>
      <c r="R43" s="8"/>
      <c r="S43" s="6" t="str">
        <f>IF($C43="","",IFERROR(INDEX(Lists!$B$5:$B$16,MATCH(J43,Lists!$A$5:$A$16,0)),0)+IFERROR(INDEX(Lists!$E$5:$E$8,MATCH(K43,Lists!$D$5:$D$8,0)),0)+IFERROR(INDEX(Lists!$H$5:$H$11,MATCH(M43,Lists!$G$5:$G$11,0)),0)+IFERROR(INDEX(Lists!$K$5:$K$9,MATCH(P43,Lists!$J$5:$J$9,0)),0))</f>
        <v/>
      </c>
      <c r="T43" s="6" t="str">
        <f t="shared" si="1"/>
        <v/>
      </c>
      <c r="U43" s="11"/>
      <c r="V43" s="7"/>
      <c r="W43" s="8"/>
      <c r="X43" s="11"/>
    </row>
    <row r="44" spans="1:24" x14ac:dyDescent="0.25">
      <c r="A44" s="6" t="str">
        <f t="shared" si="0"/>
        <v/>
      </c>
      <c r="B44" s="7"/>
      <c r="C44" s="8"/>
      <c r="D44" s="8"/>
      <c r="E44" s="8"/>
      <c r="F44" s="9"/>
      <c r="G44" s="8"/>
      <c r="H44" s="8"/>
      <c r="I44" s="8"/>
      <c r="J44" s="8"/>
      <c r="K44" s="8"/>
      <c r="L44" s="10"/>
      <c r="M44" s="8"/>
      <c r="N44" s="8"/>
      <c r="O44" s="11"/>
      <c r="P44" s="8"/>
      <c r="Q44" s="8"/>
      <c r="R44" s="8"/>
      <c r="S44" s="6" t="str">
        <f>IF($C44="","",IFERROR(INDEX(Lists!$B$5:$B$16,MATCH(J44,Lists!$A$5:$A$16,0)),0)+IFERROR(INDEX(Lists!$E$5:$E$8,MATCH(K44,Lists!$D$5:$D$8,0)),0)+IFERROR(INDEX(Lists!$H$5:$H$11,MATCH(M44,Lists!$G$5:$G$11,0)),0)+IFERROR(INDEX(Lists!$K$5:$K$9,MATCH(P44,Lists!$J$5:$J$9,0)),0))</f>
        <v/>
      </c>
      <c r="T44" s="6" t="str">
        <f t="shared" si="1"/>
        <v/>
      </c>
      <c r="U44" s="11"/>
      <c r="V44" s="7"/>
      <c r="W44" s="8"/>
      <c r="X44" s="11"/>
    </row>
    <row r="45" spans="1:24" x14ac:dyDescent="0.25">
      <c r="A45" s="6" t="str">
        <f t="shared" si="0"/>
        <v/>
      </c>
      <c r="B45" s="7"/>
      <c r="C45" s="8"/>
      <c r="D45" s="8"/>
      <c r="E45" s="8"/>
      <c r="F45" s="9"/>
      <c r="G45" s="8"/>
      <c r="H45" s="8"/>
      <c r="I45" s="8"/>
      <c r="J45" s="8"/>
      <c r="K45" s="8"/>
      <c r="L45" s="10"/>
      <c r="M45" s="8"/>
      <c r="N45" s="8"/>
      <c r="O45" s="11"/>
      <c r="P45" s="8"/>
      <c r="Q45" s="8"/>
      <c r="R45" s="8"/>
      <c r="S45" s="6" t="str">
        <f>IF($C45="","",IFERROR(INDEX(Lists!$B$5:$B$16,MATCH(J45,Lists!$A$5:$A$16,0)),0)+IFERROR(INDEX(Lists!$E$5:$E$8,MATCH(K45,Lists!$D$5:$D$8,0)),0)+IFERROR(INDEX(Lists!$H$5:$H$11,MATCH(M45,Lists!$G$5:$G$11,0)),0)+IFERROR(INDEX(Lists!$K$5:$K$9,MATCH(P45,Lists!$J$5:$J$9,0)),0))</f>
        <v/>
      </c>
      <c r="T45" s="6" t="str">
        <f t="shared" si="1"/>
        <v/>
      </c>
      <c r="U45" s="11"/>
      <c r="V45" s="7"/>
      <c r="W45" s="8"/>
      <c r="X45" s="11"/>
    </row>
    <row r="46" spans="1:24" x14ac:dyDescent="0.25">
      <c r="A46" s="6" t="str">
        <f t="shared" si="0"/>
        <v/>
      </c>
      <c r="B46" s="7"/>
      <c r="C46" s="8"/>
      <c r="D46" s="8"/>
      <c r="E46" s="8"/>
      <c r="F46" s="9"/>
      <c r="G46" s="8"/>
      <c r="H46" s="8"/>
      <c r="I46" s="8"/>
      <c r="J46" s="8"/>
      <c r="K46" s="8"/>
      <c r="L46" s="10"/>
      <c r="M46" s="8"/>
      <c r="N46" s="8"/>
      <c r="O46" s="11"/>
      <c r="P46" s="8"/>
      <c r="Q46" s="8"/>
      <c r="R46" s="8"/>
      <c r="S46" s="6" t="str">
        <f>IF($C46="","",IFERROR(INDEX(Lists!$B$5:$B$16,MATCH(J46,Lists!$A$5:$A$16,0)),0)+IFERROR(INDEX(Lists!$E$5:$E$8,MATCH(K46,Lists!$D$5:$D$8,0)),0)+IFERROR(INDEX(Lists!$H$5:$H$11,MATCH(M46,Lists!$G$5:$G$11,0)),0)+IFERROR(INDEX(Lists!$K$5:$K$9,MATCH(P46,Lists!$J$5:$J$9,0)),0))</f>
        <v/>
      </c>
      <c r="T46" s="6" t="str">
        <f t="shared" si="1"/>
        <v/>
      </c>
      <c r="U46" s="11"/>
      <c r="V46" s="7"/>
      <c r="W46" s="8"/>
      <c r="X46" s="11"/>
    </row>
    <row r="47" spans="1:24" x14ac:dyDescent="0.25">
      <c r="A47" s="6" t="str">
        <f t="shared" si="0"/>
        <v/>
      </c>
      <c r="B47" s="7"/>
      <c r="C47" s="8"/>
      <c r="D47" s="8"/>
      <c r="E47" s="8"/>
      <c r="F47" s="9"/>
      <c r="G47" s="8"/>
      <c r="H47" s="8"/>
      <c r="I47" s="8"/>
      <c r="J47" s="8"/>
      <c r="K47" s="8"/>
      <c r="L47" s="10"/>
      <c r="M47" s="8"/>
      <c r="N47" s="8"/>
      <c r="O47" s="11"/>
      <c r="P47" s="8"/>
      <c r="Q47" s="8"/>
      <c r="R47" s="8"/>
      <c r="S47" s="6" t="str">
        <f>IF($C47="","",IFERROR(INDEX(Lists!$B$5:$B$16,MATCH(J47,Lists!$A$5:$A$16,0)),0)+IFERROR(INDEX(Lists!$E$5:$E$8,MATCH(K47,Lists!$D$5:$D$8,0)),0)+IFERROR(INDEX(Lists!$H$5:$H$11,MATCH(M47,Lists!$G$5:$G$11,0)),0)+IFERROR(INDEX(Lists!$K$5:$K$9,MATCH(P47,Lists!$J$5:$J$9,0)),0))</f>
        <v/>
      </c>
      <c r="T47" s="6" t="str">
        <f t="shared" si="1"/>
        <v/>
      </c>
      <c r="U47" s="11"/>
      <c r="V47" s="7"/>
      <c r="W47" s="8"/>
      <c r="X47" s="11"/>
    </row>
    <row r="48" spans="1:24" x14ac:dyDescent="0.25">
      <c r="A48" s="6" t="str">
        <f t="shared" si="0"/>
        <v/>
      </c>
      <c r="B48" s="7"/>
      <c r="C48" s="8"/>
      <c r="D48" s="8"/>
      <c r="E48" s="8"/>
      <c r="F48" s="9"/>
      <c r="G48" s="8"/>
      <c r="H48" s="8"/>
      <c r="I48" s="8"/>
      <c r="J48" s="8"/>
      <c r="K48" s="8"/>
      <c r="L48" s="10"/>
      <c r="M48" s="8"/>
      <c r="N48" s="8"/>
      <c r="O48" s="11"/>
      <c r="P48" s="8"/>
      <c r="Q48" s="8"/>
      <c r="R48" s="8"/>
      <c r="S48" s="6" t="str">
        <f>IF($C48="","",IFERROR(INDEX(Lists!$B$5:$B$16,MATCH(J48,Lists!$A$5:$A$16,0)),0)+IFERROR(INDEX(Lists!$E$5:$E$8,MATCH(K48,Lists!$D$5:$D$8,0)),0)+IFERROR(INDEX(Lists!$H$5:$H$11,MATCH(M48,Lists!$G$5:$G$11,0)),0)+IFERROR(INDEX(Lists!$K$5:$K$9,MATCH(P48,Lists!$J$5:$J$9,0)),0))</f>
        <v/>
      </c>
      <c r="T48" s="6" t="str">
        <f t="shared" si="1"/>
        <v/>
      </c>
      <c r="U48" s="11"/>
      <c r="V48" s="7"/>
      <c r="W48" s="8"/>
      <c r="X48" s="11"/>
    </row>
    <row r="49" spans="1:24" x14ac:dyDescent="0.25">
      <c r="A49" s="6" t="str">
        <f t="shared" si="0"/>
        <v/>
      </c>
      <c r="B49" s="7"/>
      <c r="C49" s="8"/>
      <c r="D49" s="8"/>
      <c r="E49" s="8"/>
      <c r="F49" s="9"/>
      <c r="G49" s="8"/>
      <c r="H49" s="8"/>
      <c r="I49" s="8"/>
      <c r="J49" s="8"/>
      <c r="K49" s="8"/>
      <c r="L49" s="10"/>
      <c r="M49" s="8"/>
      <c r="N49" s="8"/>
      <c r="O49" s="11"/>
      <c r="P49" s="8"/>
      <c r="Q49" s="8"/>
      <c r="R49" s="8"/>
      <c r="S49" s="6" t="str">
        <f>IF($C49="","",IFERROR(INDEX(Lists!$B$5:$B$16,MATCH(J49,Lists!$A$5:$A$16,0)),0)+IFERROR(INDEX(Lists!$E$5:$E$8,MATCH(K49,Lists!$D$5:$D$8,0)),0)+IFERROR(INDEX(Lists!$H$5:$H$11,MATCH(M49,Lists!$G$5:$G$11,0)),0)+IFERROR(INDEX(Lists!$K$5:$K$9,MATCH(P49,Lists!$J$5:$J$9,0)),0))</f>
        <v/>
      </c>
      <c r="T49" s="6" t="str">
        <f t="shared" si="1"/>
        <v/>
      </c>
      <c r="U49" s="11"/>
      <c r="V49" s="7"/>
      <c r="W49" s="8"/>
      <c r="X49" s="11"/>
    </row>
    <row r="50" spans="1:24" x14ac:dyDescent="0.25">
      <c r="A50" s="6" t="str">
        <f t="shared" si="0"/>
        <v/>
      </c>
      <c r="B50" s="7"/>
      <c r="C50" s="8"/>
      <c r="D50" s="8"/>
      <c r="E50" s="8"/>
      <c r="F50" s="9"/>
      <c r="G50" s="8"/>
      <c r="H50" s="8"/>
      <c r="I50" s="8"/>
      <c r="J50" s="8"/>
      <c r="K50" s="8"/>
      <c r="L50" s="10"/>
      <c r="M50" s="8"/>
      <c r="N50" s="8"/>
      <c r="O50" s="11"/>
      <c r="P50" s="8"/>
      <c r="Q50" s="8"/>
      <c r="R50" s="8"/>
      <c r="S50" s="6" t="str">
        <f>IF($C50="","",IFERROR(INDEX(Lists!$B$5:$B$16,MATCH(J50,Lists!$A$5:$A$16,0)),0)+IFERROR(INDEX(Lists!$E$5:$E$8,MATCH(K50,Lists!$D$5:$D$8,0)),0)+IFERROR(INDEX(Lists!$H$5:$H$11,MATCH(M50,Lists!$G$5:$G$11,0)),0)+IFERROR(INDEX(Lists!$K$5:$K$9,MATCH(P50,Lists!$J$5:$J$9,0)),0))</f>
        <v/>
      </c>
      <c r="T50" s="6" t="str">
        <f t="shared" si="1"/>
        <v/>
      </c>
      <c r="U50" s="11"/>
      <c r="V50" s="7"/>
      <c r="W50" s="8"/>
      <c r="X50" s="11"/>
    </row>
    <row r="51" spans="1:24" x14ac:dyDescent="0.25">
      <c r="A51" s="6" t="str">
        <f t="shared" si="0"/>
        <v/>
      </c>
      <c r="B51" s="7"/>
      <c r="C51" s="8"/>
      <c r="D51" s="8"/>
      <c r="E51" s="8"/>
      <c r="F51" s="9"/>
      <c r="G51" s="8"/>
      <c r="H51" s="8"/>
      <c r="I51" s="8"/>
      <c r="J51" s="8"/>
      <c r="K51" s="8"/>
      <c r="L51" s="10"/>
      <c r="M51" s="8"/>
      <c r="N51" s="8"/>
      <c r="O51" s="11"/>
      <c r="P51" s="8"/>
      <c r="Q51" s="8"/>
      <c r="R51" s="8"/>
      <c r="S51" s="6" t="str">
        <f>IF($C51="","",IFERROR(INDEX(Lists!$B$5:$B$16,MATCH(J51,Lists!$A$5:$A$16,0)),0)+IFERROR(INDEX(Lists!$E$5:$E$8,MATCH(K51,Lists!$D$5:$D$8,0)),0)+IFERROR(INDEX(Lists!$H$5:$H$11,MATCH(M51,Lists!$G$5:$G$11,0)),0)+IFERROR(INDEX(Lists!$K$5:$K$9,MATCH(P51,Lists!$J$5:$J$9,0)),0))</f>
        <v/>
      </c>
      <c r="T51" s="6" t="str">
        <f t="shared" si="1"/>
        <v/>
      </c>
      <c r="U51" s="11"/>
      <c r="V51" s="7"/>
      <c r="W51" s="8"/>
      <c r="X51" s="11"/>
    </row>
    <row r="52" spans="1:24" x14ac:dyDescent="0.25">
      <c r="A52" s="6" t="str">
        <f t="shared" si="0"/>
        <v/>
      </c>
      <c r="B52" s="7"/>
      <c r="C52" s="8"/>
      <c r="D52" s="8"/>
      <c r="E52" s="8"/>
      <c r="F52" s="9"/>
      <c r="G52" s="8"/>
      <c r="H52" s="8"/>
      <c r="I52" s="8"/>
      <c r="J52" s="8"/>
      <c r="K52" s="8"/>
      <c r="L52" s="10"/>
      <c r="M52" s="8"/>
      <c r="N52" s="8"/>
      <c r="O52" s="11"/>
      <c r="P52" s="8"/>
      <c r="Q52" s="8"/>
      <c r="R52" s="8"/>
      <c r="S52" s="6" t="str">
        <f>IF($C52="","",IFERROR(INDEX(Lists!$B$5:$B$16,MATCH(J52,Lists!$A$5:$A$16,0)),0)+IFERROR(INDEX(Lists!$E$5:$E$8,MATCH(K52,Lists!$D$5:$D$8,0)),0)+IFERROR(INDEX(Lists!$H$5:$H$11,MATCH(M52,Lists!$G$5:$G$11,0)),0)+IFERROR(INDEX(Lists!$K$5:$K$9,MATCH(P52,Lists!$J$5:$J$9,0)),0))</f>
        <v/>
      </c>
      <c r="T52" s="6" t="str">
        <f t="shared" si="1"/>
        <v/>
      </c>
      <c r="U52" s="11"/>
      <c r="V52" s="7"/>
      <c r="W52" s="8"/>
      <c r="X52" s="11"/>
    </row>
    <row r="53" spans="1:24" x14ac:dyDescent="0.25">
      <c r="A53" s="6" t="str">
        <f t="shared" si="0"/>
        <v/>
      </c>
      <c r="B53" s="7"/>
      <c r="C53" s="8"/>
      <c r="D53" s="8"/>
      <c r="E53" s="8"/>
      <c r="F53" s="9"/>
      <c r="G53" s="8"/>
      <c r="H53" s="8"/>
      <c r="I53" s="8"/>
      <c r="J53" s="8"/>
      <c r="K53" s="8"/>
      <c r="L53" s="10"/>
      <c r="M53" s="8"/>
      <c r="N53" s="8"/>
      <c r="O53" s="11"/>
      <c r="P53" s="8"/>
      <c r="Q53" s="8"/>
      <c r="R53" s="8"/>
      <c r="S53" s="6" t="str">
        <f>IF($C53="","",IFERROR(INDEX(Lists!$B$5:$B$16,MATCH(J53,Lists!$A$5:$A$16,0)),0)+IFERROR(INDEX(Lists!$E$5:$E$8,MATCH(K53,Lists!$D$5:$D$8,0)),0)+IFERROR(INDEX(Lists!$H$5:$H$11,MATCH(M53,Lists!$G$5:$G$11,0)),0)+IFERROR(INDEX(Lists!$K$5:$K$9,MATCH(P53,Lists!$J$5:$J$9,0)),0))</f>
        <v/>
      </c>
      <c r="T53" s="6" t="str">
        <f t="shared" si="1"/>
        <v/>
      </c>
      <c r="U53" s="11"/>
      <c r="V53" s="7"/>
      <c r="W53" s="8"/>
      <c r="X53" s="11"/>
    </row>
    <row r="54" spans="1:24" x14ac:dyDescent="0.25">
      <c r="A54" s="6" t="str">
        <f t="shared" si="0"/>
        <v/>
      </c>
      <c r="B54" s="7"/>
      <c r="C54" s="8"/>
      <c r="D54" s="8"/>
      <c r="E54" s="8"/>
      <c r="F54" s="9"/>
      <c r="G54" s="8"/>
      <c r="H54" s="8"/>
      <c r="I54" s="8"/>
      <c r="J54" s="8"/>
      <c r="K54" s="8"/>
      <c r="L54" s="10"/>
      <c r="M54" s="8"/>
      <c r="N54" s="8"/>
      <c r="O54" s="11"/>
      <c r="P54" s="8"/>
      <c r="Q54" s="8"/>
      <c r="R54" s="8"/>
      <c r="S54" s="6" t="str">
        <f>IF($C54="","",IFERROR(INDEX(Lists!$B$5:$B$16,MATCH(J54,Lists!$A$5:$A$16,0)),0)+IFERROR(INDEX(Lists!$E$5:$E$8,MATCH(K54,Lists!$D$5:$D$8,0)),0)+IFERROR(INDEX(Lists!$H$5:$H$11,MATCH(M54,Lists!$G$5:$G$11,0)),0)+IFERROR(INDEX(Lists!$K$5:$K$9,MATCH(P54,Lists!$J$5:$J$9,0)),0))</f>
        <v/>
      </c>
      <c r="T54" s="6" t="str">
        <f t="shared" si="1"/>
        <v/>
      </c>
      <c r="U54" s="11"/>
      <c r="V54" s="7"/>
      <c r="W54" s="8"/>
      <c r="X54" s="11"/>
    </row>
    <row r="55" spans="1:24" x14ac:dyDescent="0.25">
      <c r="A55" s="6" t="str">
        <f t="shared" si="0"/>
        <v/>
      </c>
      <c r="B55" s="7"/>
      <c r="C55" s="8"/>
      <c r="D55" s="8"/>
      <c r="E55" s="8"/>
      <c r="F55" s="9"/>
      <c r="G55" s="8"/>
      <c r="H55" s="8"/>
      <c r="I55" s="8"/>
      <c r="J55" s="8"/>
      <c r="K55" s="8"/>
      <c r="L55" s="10"/>
      <c r="M55" s="8"/>
      <c r="N55" s="8"/>
      <c r="O55" s="11"/>
      <c r="P55" s="8"/>
      <c r="Q55" s="8"/>
      <c r="R55" s="8"/>
      <c r="S55" s="6" t="str">
        <f>IF($C55="","",IFERROR(INDEX(Lists!$B$5:$B$16,MATCH(J55,Lists!$A$5:$A$16,0)),0)+IFERROR(INDEX(Lists!$E$5:$E$8,MATCH(K55,Lists!$D$5:$D$8,0)),0)+IFERROR(INDEX(Lists!$H$5:$H$11,MATCH(M55,Lists!$G$5:$G$11,0)),0)+IFERROR(INDEX(Lists!$K$5:$K$9,MATCH(P55,Lists!$J$5:$J$9,0)),0))</f>
        <v/>
      </c>
      <c r="T55" s="6" t="str">
        <f t="shared" si="1"/>
        <v/>
      </c>
      <c r="U55" s="11"/>
      <c r="V55" s="7"/>
      <c r="W55" s="8"/>
      <c r="X55" s="11"/>
    </row>
    <row r="56" spans="1:24" x14ac:dyDescent="0.25">
      <c r="A56" s="6" t="str">
        <f t="shared" si="0"/>
        <v/>
      </c>
      <c r="B56" s="7"/>
      <c r="C56" s="8"/>
      <c r="D56" s="8"/>
      <c r="E56" s="8"/>
      <c r="F56" s="9"/>
      <c r="G56" s="8"/>
      <c r="H56" s="8"/>
      <c r="I56" s="8"/>
      <c r="J56" s="8"/>
      <c r="K56" s="8"/>
      <c r="L56" s="10"/>
      <c r="M56" s="8"/>
      <c r="N56" s="8"/>
      <c r="O56" s="11"/>
      <c r="P56" s="8"/>
      <c r="Q56" s="8"/>
      <c r="R56" s="8"/>
      <c r="S56" s="6" t="str">
        <f>IF($C56="","",IFERROR(INDEX(Lists!$B$5:$B$16,MATCH(J56,Lists!$A$5:$A$16,0)),0)+IFERROR(INDEX(Lists!$E$5:$E$8,MATCH(K56,Lists!$D$5:$D$8,0)),0)+IFERROR(INDEX(Lists!$H$5:$H$11,MATCH(M56,Lists!$G$5:$G$11,0)),0)+IFERROR(INDEX(Lists!$K$5:$K$9,MATCH(P56,Lists!$J$5:$J$9,0)),0))</f>
        <v/>
      </c>
      <c r="T56" s="6" t="str">
        <f t="shared" si="1"/>
        <v/>
      </c>
      <c r="U56" s="11"/>
      <c r="V56" s="7"/>
      <c r="W56" s="8"/>
      <c r="X56" s="11"/>
    </row>
    <row r="57" spans="1:24" x14ac:dyDescent="0.25">
      <c r="A57" s="6" t="str">
        <f t="shared" si="0"/>
        <v/>
      </c>
      <c r="B57" s="7"/>
      <c r="C57" s="8"/>
      <c r="D57" s="8"/>
      <c r="E57" s="8"/>
      <c r="F57" s="9"/>
      <c r="G57" s="8"/>
      <c r="H57" s="8"/>
      <c r="I57" s="8"/>
      <c r="J57" s="8"/>
      <c r="K57" s="8"/>
      <c r="L57" s="10"/>
      <c r="M57" s="8"/>
      <c r="N57" s="8"/>
      <c r="O57" s="11"/>
      <c r="P57" s="8"/>
      <c r="Q57" s="8"/>
      <c r="R57" s="8"/>
      <c r="S57" s="6" t="str">
        <f>IF($C57="","",IFERROR(INDEX(Lists!$B$5:$B$16,MATCH(J57,Lists!$A$5:$A$16,0)),0)+IFERROR(INDEX(Lists!$E$5:$E$8,MATCH(K57,Lists!$D$5:$D$8,0)),0)+IFERROR(INDEX(Lists!$H$5:$H$11,MATCH(M57,Lists!$G$5:$G$11,0)),0)+IFERROR(INDEX(Lists!$K$5:$K$9,MATCH(P57,Lists!$J$5:$J$9,0)),0))</f>
        <v/>
      </c>
      <c r="T57" s="6" t="str">
        <f t="shared" si="1"/>
        <v/>
      </c>
      <c r="U57" s="11"/>
      <c r="V57" s="7"/>
      <c r="W57" s="8"/>
      <c r="X57" s="11"/>
    </row>
    <row r="58" spans="1:24" x14ac:dyDescent="0.25">
      <c r="A58" s="6" t="str">
        <f t="shared" si="0"/>
        <v/>
      </c>
      <c r="B58" s="7"/>
      <c r="C58" s="8"/>
      <c r="D58" s="8"/>
      <c r="E58" s="8"/>
      <c r="F58" s="9"/>
      <c r="G58" s="8"/>
      <c r="H58" s="8"/>
      <c r="I58" s="8"/>
      <c r="J58" s="8"/>
      <c r="K58" s="8"/>
      <c r="L58" s="10"/>
      <c r="M58" s="8"/>
      <c r="N58" s="8"/>
      <c r="O58" s="11"/>
      <c r="P58" s="8"/>
      <c r="Q58" s="8"/>
      <c r="R58" s="8"/>
      <c r="S58" s="6" t="str">
        <f>IF($C58="","",IFERROR(INDEX(Lists!$B$5:$B$16,MATCH(J58,Lists!$A$5:$A$16,0)),0)+IFERROR(INDEX(Lists!$E$5:$E$8,MATCH(K58,Lists!$D$5:$D$8,0)),0)+IFERROR(INDEX(Lists!$H$5:$H$11,MATCH(M58,Lists!$G$5:$G$11,0)),0)+IFERROR(INDEX(Lists!$K$5:$K$9,MATCH(P58,Lists!$J$5:$J$9,0)),0))</f>
        <v/>
      </c>
      <c r="T58" s="6" t="str">
        <f t="shared" si="1"/>
        <v/>
      </c>
      <c r="U58" s="11"/>
      <c r="V58" s="7"/>
      <c r="W58" s="8"/>
      <c r="X58" s="11"/>
    </row>
    <row r="59" spans="1:24" x14ac:dyDescent="0.25">
      <c r="A59" s="6" t="str">
        <f t="shared" si="0"/>
        <v/>
      </c>
      <c r="B59" s="7"/>
      <c r="C59" s="8"/>
      <c r="D59" s="8"/>
      <c r="E59" s="8"/>
      <c r="F59" s="9"/>
      <c r="G59" s="8"/>
      <c r="H59" s="8"/>
      <c r="I59" s="8"/>
      <c r="J59" s="8"/>
      <c r="K59" s="8"/>
      <c r="L59" s="10"/>
      <c r="M59" s="8"/>
      <c r="N59" s="8"/>
      <c r="O59" s="11"/>
      <c r="P59" s="8"/>
      <c r="Q59" s="8"/>
      <c r="R59" s="8"/>
      <c r="S59" s="6" t="str">
        <f>IF($C59="","",IFERROR(INDEX(Lists!$B$5:$B$16,MATCH(J59,Lists!$A$5:$A$16,0)),0)+IFERROR(INDEX(Lists!$E$5:$E$8,MATCH(K59,Lists!$D$5:$D$8,0)),0)+IFERROR(INDEX(Lists!$H$5:$H$11,MATCH(M59,Lists!$G$5:$G$11,0)),0)+IFERROR(INDEX(Lists!$K$5:$K$9,MATCH(P59,Lists!$J$5:$J$9,0)),0))</f>
        <v/>
      </c>
      <c r="T59" s="6" t="str">
        <f t="shared" si="1"/>
        <v/>
      </c>
      <c r="U59" s="11"/>
      <c r="V59" s="7"/>
      <c r="W59" s="8"/>
      <c r="X59" s="11"/>
    </row>
    <row r="60" spans="1:24" x14ac:dyDescent="0.25">
      <c r="A60" s="6" t="str">
        <f t="shared" si="0"/>
        <v/>
      </c>
      <c r="B60" s="7"/>
      <c r="C60" s="8"/>
      <c r="D60" s="8"/>
      <c r="E60" s="8"/>
      <c r="F60" s="9"/>
      <c r="G60" s="8"/>
      <c r="H60" s="8"/>
      <c r="I60" s="8"/>
      <c r="J60" s="8"/>
      <c r="K60" s="8"/>
      <c r="L60" s="10"/>
      <c r="M60" s="8"/>
      <c r="N60" s="8"/>
      <c r="O60" s="11"/>
      <c r="P60" s="8"/>
      <c r="Q60" s="8"/>
      <c r="R60" s="8"/>
      <c r="S60" s="6" t="str">
        <f>IF($C60="","",IFERROR(INDEX(Lists!$B$5:$B$16,MATCH(J60,Lists!$A$5:$A$16,0)),0)+IFERROR(INDEX(Lists!$E$5:$E$8,MATCH(K60,Lists!$D$5:$D$8,0)),0)+IFERROR(INDEX(Lists!$H$5:$H$11,MATCH(M60,Lists!$G$5:$G$11,0)),0)+IFERROR(INDEX(Lists!$K$5:$K$9,MATCH(P60,Lists!$J$5:$J$9,0)),0))</f>
        <v/>
      </c>
      <c r="T60" s="6" t="str">
        <f t="shared" si="1"/>
        <v/>
      </c>
      <c r="U60" s="11"/>
      <c r="V60" s="7"/>
      <c r="W60" s="8"/>
      <c r="X60" s="11"/>
    </row>
    <row r="61" spans="1:24" x14ac:dyDescent="0.25">
      <c r="A61" s="6" t="str">
        <f t="shared" si="0"/>
        <v/>
      </c>
      <c r="B61" s="7"/>
      <c r="C61" s="8"/>
      <c r="D61" s="8"/>
      <c r="E61" s="8"/>
      <c r="F61" s="9"/>
      <c r="G61" s="8"/>
      <c r="H61" s="8"/>
      <c r="I61" s="8"/>
      <c r="J61" s="8"/>
      <c r="K61" s="8"/>
      <c r="L61" s="10"/>
      <c r="M61" s="8"/>
      <c r="N61" s="8"/>
      <c r="O61" s="11"/>
      <c r="P61" s="8"/>
      <c r="Q61" s="8"/>
      <c r="R61" s="8"/>
      <c r="S61" s="6" t="str">
        <f>IF($C61="","",IFERROR(INDEX(Lists!$B$5:$B$16,MATCH(J61,Lists!$A$5:$A$16,0)),0)+IFERROR(INDEX(Lists!$E$5:$E$8,MATCH(K61,Lists!$D$5:$D$8,0)),0)+IFERROR(INDEX(Lists!$H$5:$H$11,MATCH(M61,Lists!$G$5:$G$11,0)),0)+IFERROR(INDEX(Lists!$K$5:$K$9,MATCH(P61,Lists!$J$5:$J$9,0)),0))</f>
        <v/>
      </c>
      <c r="T61" s="6" t="str">
        <f t="shared" si="1"/>
        <v/>
      </c>
      <c r="U61" s="11"/>
      <c r="V61" s="7"/>
      <c r="W61" s="8"/>
      <c r="X61" s="11"/>
    </row>
    <row r="62" spans="1:24" x14ac:dyDescent="0.25">
      <c r="A62" s="6" t="str">
        <f t="shared" si="0"/>
        <v/>
      </c>
      <c r="B62" s="7"/>
      <c r="C62" s="8"/>
      <c r="D62" s="8"/>
      <c r="E62" s="8"/>
      <c r="F62" s="9"/>
      <c r="G62" s="8"/>
      <c r="H62" s="8"/>
      <c r="I62" s="8"/>
      <c r="J62" s="8"/>
      <c r="K62" s="8"/>
      <c r="L62" s="10"/>
      <c r="M62" s="8"/>
      <c r="N62" s="8"/>
      <c r="O62" s="11"/>
      <c r="P62" s="8"/>
      <c r="Q62" s="8"/>
      <c r="R62" s="8"/>
      <c r="S62" s="6" t="str">
        <f>IF($C62="","",IFERROR(INDEX(Lists!$B$5:$B$16,MATCH(J62,Lists!$A$5:$A$16,0)),0)+IFERROR(INDEX(Lists!$E$5:$E$8,MATCH(K62,Lists!$D$5:$D$8,0)),0)+IFERROR(INDEX(Lists!$H$5:$H$11,MATCH(M62,Lists!$G$5:$G$11,0)),0)+IFERROR(INDEX(Lists!$K$5:$K$9,MATCH(P62,Lists!$J$5:$J$9,0)),0))</f>
        <v/>
      </c>
      <c r="T62" s="6" t="str">
        <f t="shared" si="1"/>
        <v/>
      </c>
      <c r="U62" s="11"/>
      <c r="V62" s="7"/>
      <c r="W62" s="8"/>
      <c r="X62" s="11"/>
    </row>
    <row r="63" spans="1:24" x14ac:dyDescent="0.25">
      <c r="A63" s="6" t="str">
        <f t="shared" si="0"/>
        <v/>
      </c>
      <c r="B63" s="7"/>
      <c r="C63" s="8"/>
      <c r="D63" s="8"/>
      <c r="E63" s="8"/>
      <c r="F63" s="9"/>
      <c r="G63" s="8"/>
      <c r="H63" s="8"/>
      <c r="I63" s="8"/>
      <c r="J63" s="8"/>
      <c r="K63" s="8"/>
      <c r="L63" s="10"/>
      <c r="M63" s="8"/>
      <c r="N63" s="8"/>
      <c r="O63" s="11"/>
      <c r="P63" s="8"/>
      <c r="Q63" s="8"/>
      <c r="R63" s="8"/>
      <c r="S63" s="6" t="str">
        <f>IF($C63="","",IFERROR(INDEX(Lists!$B$5:$B$16,MATCH(J63,Lists!$A$5:$A$16,0)),0)+IFERROR(INDEX(Lists!$E$5:$E$8,MATCH(K63,Lists!$D$5:$D$8,0)),0)+IFERROR(INDEX(Lists!$H$5:$H$11,MATCH(M63,Lists!$G$5:$G$11,0)),0)+IFERROR(INDEX(Lists!$K$5:$K$9,MATCH(P63,Lists!$J$5:$J$9,0)),0))</f>
        <v/>
      </c>
      <c r="T63" s="6" t="str">
        <f t="shared" si="1"/>
        <v/>
      </c>
      <c r="U63" s="11"/>
      <c r="V63" s="7"/>
      <c r="W63" s="8"/>
      <c r="X63" s="11"/>
    </row>
    <row r="64" spans="1:24" x14ac:dyDescent="0.25">
      <c r="A64" s="6" t="str">
        <f t="shared" si="0"/>
        <v/>
      </c>
      <c r="B64" s="7"/>
      <c r="C64" s="8"/>
      <c r="D64" s="8"/>
      <c r="E64" s="8"/>
      <c r="F64" s="9"/>
      <c r="G64" s="8"/>
      <c r="H64" s="8"/>
      <c r="I64" s="8"/>
      <c r="J64" s="8"/>
      <c r="K64" s="8"/>
      <c r="L64" s="10"/>
      <c r="M64" s="8"/>
      <c r="N64" s="8"/>
      <c r="O64" s="11"/>
      <c r="P64" s="8"/>
      <c r="Q64" s="8"/>
      <c r="R64" s="8"/>
      <c r="S64" s="6" t="str">
        <f>IF($C64="","",IFERROR(INDEX(Lists!$B$5:$B$16,MATCH(J64,Lists!$A$5:$A$16,0)),0)+IFERROR(INDEX(Lists!$E$5:$E$8,MATCH(K64,Lists!$D$5:$D$8,0)),0)+IFERROR(INDEX(Lists!$H$5:$H$11,MATCH(M64,Lists!$G$5:$G$11,0)),0)+IFERROR(INDEX(Lists!$K$5:$K$9,MATCH(P64,Lists!$J$5:$J$9,0)),0))</f>
        <v/>
      </c>
      <c r="T64" s="6" t="str">
        <f t="shared" si="1"/>
        <v/>
      </c>
      <c r="U64" s="11"/>
      <c r="V64" s="7"/>
      <c r="W64" s="8"/>
      <c r="X64" s="11"/>
    </row>
    <row r="65" spans="1:24" x14ac:dyDescent="0.25">
      <c r="A65" s="6" t="str">
        <f t="shared" si="0"/>
        <v/>
      </c>
      <c r="B65" s="7"/>
      <c r="C65" s="8"/>
      <c r="D65" s="8"/>
      <c r="E65" s="8"/>
      <c r="F65" s="9"/>
      <c r="G65" s="8"/>
      <c r="H65" s="8"/>
      <c r="I65" s="8"/>
      <c r="J65" s="8"/>
      <c r="K65" s="8"/>
      <c r="L65" s="10"/>
      <c r="M65" s="8"/>
      <c r="N65" s="8"/>
      <c r="O65" s="11"/>
      <c r="P65" s="8"/>
      <c r="Q65" s="8"/>
      <c r="R65" s="8"/>
      <c r="S65" s="6" t="str">
        <f>IF($C65="","",IFERROR(INDEX(Lists!$B$5:$B$16,MATCH(J65,Lists!$A$5:$A$16,0)),0)+IFERROR(INDEX(Lists!$E$5:$E$8,MATCH(K65,Lists!$D$5:$D$8,0)),0)+IFERROR(INDEX(Lists!$H$5:$H$11,MATCH(M65,Lists!$G$5:$G$11,0)),0)+IFERROR(INDEX(Lists!$K$5:$K$9,MATCH(P65,Lists!$J$5:$J$9,0)),0))</f>
        <v/>
      </c>
      <c r="T65" s="6" t="str">
        <f t="shared" si="1"/>
        <v/>
      </c>
      <c r="U65" s="11"/>
      <c r="V65" s="7"/>
      <c r="W65" s="8"/>
      <c r="X65" s="11"/>
    </row>
    <row r="66" spans="1:24" x14ac:dyDescent="0.25">
      <c r="A66" s="6" t="str">
        <f t="shared" si="0"/>
        <v/>
      </c>
      <c r="B66" s="7"/>
      <c r="C66" s="8"/>
      <c r="D66" s="8"/>
      <c r="E66" s="8"/>
      <c r="F66" s="9"/>
      <c r="G66" s="8"/>
      <c r="H66" s="8"/>
      <c r="I66" s="8"/>
      <c r="J66" s="8"/>
      <c r="K66" s="8"/>
      <c r="L66" s="10"/>
      <c r="M66" s="8"/>
      <c r="N66" s="8"/>
      <c r="O66" s="11"/>
      <c r="P66" s="8"/>
      <c r="Q66" s="8"/>
      <c r="R66" s="8"/>
      <c r="S66" s="6" t="str">
        <f>IF($C66="","",IFERROR(INDEX(Lists!$B$5:$B$16,MATCH(J66,Lists!$A$5:$A$16,0)),0)+IFERROR(INDEX(Lists!$E$5:$E$8,MATCH(K66,Lists!$D$5:$D$8,0)),0)+IFERROR(INDEX(Lists!$H$5:$H$11,MATCH(M66,Lists!$G$5:$G$11,0)),0)+IFERROR(INDEX(Lists!$K$5:$K$9,MATCH(P66,Lists!$J$5:$J$9,0)),0))</f>
        <v/>
      </c>
      <c r="T66" s="6" t="str">
        <f t="shared" si="1"/>
        <v/>
      </c>
      <c r="U66" s="11"/>
      <c r="V66" s="7"/>
      <c r="W66" s="8"/>
      <c r="X66" s="11"/>
    </row>
    <row r="67" spans="1:24" x14ac:dyDescent="0.25">
      <c r="A67" s="6" t="str">
        <f t="shared" si="0"/>
        <v/>
      </c>
      <c r="B67" s="7"/>
      <c r="C67" s="8"/>
      <c r="D67" s="8"/>
      <c r="E67" s="8"/>
      <c r="F67" s="9"/>
      <c r="G67" s="8"/>
      <c r="H67" s="8"/>
      <c r="I67" s="8"/>
      <c r="J67" s="8"/>
      <c r="K67" s="8"/>
      <c r="L67" s="10"/>
      <c r="M67" s="8"/>
      <c r="N67" s="8"/>
      <c r="O67" s="11"/>
      <c r="P67" s="8"/>
      <c r="Q67" s="8"/>
      <c r="R67" s="8"/>
      <c r="S67" s="6" t="str">
        <f>IF($C67="","",IFERROR(INDEX(Lists!$B$5:$B$16,MATCH(J67,Lists!$A$5:$A$16,0)),0)+IFERROR(INDEX(Lists!$E$5:$E$8,MATCH(K67,Lists!$D$5:$D$8,0)),0)+IFERROR(INDEX(Lists!$H$5:$H$11,MATCH(M67,Lists!$G$5:$G$11,0)),0)+IFERROR(INDEX(Lists!$K$5:$K$9,MATCH(P67,Lists!$J$5:$J$9,0)),0))</f>
        <v/>
      </c>
      <c r="T67" s="6" t="str">
        <f t="shared" si="1"/>
        <v/>
      </c>
      <c r="U67" s="11"/>
      <c r="V67" s="7"/>
      <c r="W67" s="8"/>
      <c r="X67" s="11"/>
    </row>
    <row r="68" spans="1:24" x14ac:dyDescent="0.25">
      <c r="A68" s="6" t="str">
        <f t="shared" si="0"/>
        <v/>
      </c>
      <c r="B68" s="7"/>
      <c r="C68" s="8"/>
      <c r="D68" s="8"/>
      <c r="E68" s="8"/>
      <c r="F68" s="9"/>
      <c r="G68" s="8"/>
      <c r="H68" s="8"/>
      <c r="I68" s="8"/>
      <c r="J68" s="8"/>
      <c r="K68" s="8"/>
      <c r="L68" s="10"/>
      <c r="M68" s="8"/>
      <c r="N68" s="8"/>
      <c r="O68" s="11"/>
      <c r="P68" s="8"/>
      <c r="Q68" s="8"/>
      <c r="R68" s="8"/>
      <c r="S68" s="6" t="str">
        <f>IF($C68="","",IFERROR(INDEX(Lists!$B$5:$B$16,MATCH(J68,Lists!$A$5:$A$16,0)),0)+IFERROR(INDEX(Lists!$E$5:$E$8,MATCH(K68,Lists!$D$5:$D$8,0)),0)+IFERROR(INDEX(Lists!$H$5:$H$11,MATCH(M68,Lists!$G$5:$G$11,0)),0)+IFERROR(INDEX(Lists!$K$5:$K$9,MATCH(P68,Lists!$J$5:$J$9,0)),0))</f>
        <v/>
      </c>
      <c r="T68" s="6" t="str">
        <f t="shared" si="1"/>
        <v/>
      </c>
      <c r="U68" s="11"/>
      <c r="V68" s="7"/>
      <c r="W68" s="8"/>
      <c r="X68" s="11"/>
    </row>
    <row r="69" spans="1:24" x14ac:dyDescent="0.25">
      <c r="A69" s="6" t="str">
        <f t="shared" ref="A69:A132" si="2">IF($C69="","","L-"&amp;TEXT(ROW()-4,"000"))</f>
        <v/>
      </c>
      <c r="B69" s="7"/>
      <c r="C69" s="8"/>
      <c r="D69" s="8"/>
      <c r="E69" s="8"/>
      <c r="F69" s="9"/>
      <c r="G69" s="8"/>
      <c r="H69" s="8"/>
      <c r="I69" s="8"/>
      <c r="J69" s="8"/>
      <c r="K69" s="8"/>
      <c r="L69" s="10"/>
      <c r="M69" s="8"/>
      <c r="N69" s="8"/>
      <c r="O69" s="11"/>
      <c r="P69" s="8"/>
      <c r="Q69" s="8"/>
      <c r="R69" s="8"/>
      <c r="S69" s="6" t="str">
        <f>IF($C69="","",IFERROR(INDEX(Lists!$B$5:$B$16,MATCH(J69,Lists!$A$5:$A$16,0)),0)+IFERROR(INDEX(Lists!$E$5:$E$8,MATCH(K69,Lists!$D$5:$D$8,0)),0)+IFERROR(INDEX(Lists!$H$5:$H$11,MATCH(M69,Lists!$G$5:$G$11,0)),0)+IFERROR(INDEX(Lists!$K$5:$K$9,MATCH(P69,Lists!$J$5:$J$9,0)),0))</f>
        <v/>
      </c>
      <c r="T69" s="6" t="str">
        <f t="shared" ref="T69:T132" si="3">IF($C69="","",IF(AND(S69&gt;=75,LEFT(P69,3)="Yes"),"Hot",IF(S69&gt;=55,"Warm","Cold")))</f>
        <v/>
      </c>
      <c r="U69" s="11"/>
      <c r="V69" s="7"/>
      <c r="W69" s="8"/>
      <c r="X69" s="11"/>
    </row>
    <row r="70" spans="1:24" x14ac:dyDescent="0.25">
      <c r="A70" s="6" t="str">
        <f t="shared" si="2"/>
        <v/>
      </c>
      <c r="B70" s="7"/>
      <c r="C70" s="8"/>
      <c r="D70" s="8"/>
      <c r="E70" s="8"/>
      <c r="F70" s="9"/>
      <c r="G70" s="8"/>
      <c r="H70" s="8"/>
      <c r="I70" s="8"/>
      <c r="J70" s="8"/>
      <c r="K70" s="8"/>
      <c r="L70" s="10"/>
      <c r="M70" s="8"/>
      <c r="N70" s="8"/>
      <c r="O70" s="11"/>
      <c r="P70" s="8"/>
      <c r="Q70" s="8"/>
      <c r="R70" s="8"/>
      <c r="S70" s="6" t="str">
        <f>IF($C70="","",IFERROR(INDEX(Lists!$B$5:$B$16,MATCH(J70,Lists!$A$5:$A$16,0)),0)+IFERROR(INDEX(Lists!$E$5:$E$8,MATCH(K70,Lists!$D$5:$D$8,0)),0)+IFERROR(INDEX(Lists!$H$5:$H$11,MATCH(M70,Lists!$G$5:$G$11,0)),0)+IFERROR(INDEX(Lists!$K$5:$K$9,MATCH(P70,Lists!$J$5:$J$9,0)),0))</f>
        <v/>
      </c>
      <c r="T70" s="6" t="str">
        <f t="shared" si="3"/>
        <v/>
      </c>
      <c r="U70" s="11"/>
      <c r="V70" s="7"/>
      <c r="W70" s="8"/>
      <c r="X70" s="11"/>
    </row>
    <row r="71" spans="1:24" x14ac:dyDescent="0.25">
      <c r="A71" s="6" t="str">
        <f t="shared" si="2"/>
        <v/>
      </c>
      <c r="B71" s="7"/>
      <c r="C71" s="8"/>
      <c r="D71" s="8"/>
      <c r="E71" s="8"/>
      <c r="F71" s="9"/>
      <c r="G71" s="8"/>
      <c r="H71" s="8"/>
      <c r="I71" s="8"/>
      <c r="J71" s="8"/>
      <c r="K71" s="8"/>
      <c r="L71" s="10"/>
      <c r="M71" s="8"/>
      <c r="N71" s="8"/>
      <c r="O71" s="11"/>
      <c r="P71" s="8"/>
      <c r="Q71" s="8"/>
      <c r="R71" s="8"/>
      <c r="S71" s="6" t="str">
        <f>IF($C71="","",IFERROR(INDEX(Lists!$B$5:$B$16,MATCH(J71,Lists!$A$5:$A$16,0)),0)+IFERROR(INDEX(Lists!$E$5:$E$8,MATCH(K71,Lists!$D$5:$D$8,0)),0)+IFERROR(INDEX(Lists!$H$5:$H$11,MATCH(M71,Lists!$G$5:$G$11,0)),0)+IFERROR(INDEX(Lists!$K$5:$K$9,MATCH(P71,Lists!$J$5:$J$9,0)),0))</f>
        <v/>
      </c>
      <c r="T71" s="6" t="str">
        <f t="shared" si="3"/>
        <v/>
      </c>
      <c r="U71" s="11"/>
      <c r="V71" s="7"/>
      <c r="W71" s="8"/>
      <c r="X71" s="11"/>
    </row>
    <row r="72" spans="1:24" x14ac:dyDescent="0.25">
      <c r="A72" s="6" t="str">
        <f t="shared" si="2"/>
        <v/>
      </c>
      <c r="B72" s="7"/>
      <c r="C72" s="8"/>
      <c r="D72" s="8"/>
      <c r="E72" s="8"/>
      <c r="F72" s="9"/>
      <c r="G72" s="8"/>
      <c r="H72" s="8"/>
      <c r="I72" s="8"/>
      <c r="J72" s="8"/>
      <c r="K72" s="8"/>
      <c r="L72" s="10"/>
      <c r="M72" s="8"/>
      <c r="N72" s="8"/>
      <c r="O72" s="11"/>
      <c r="P72" s="8"/>
      <c r="Q72" s="8"/>
      <c r="R72" s="8"/>
      <c r="S72" s="6" t="str">
        <f>IF($C72="","",IFERROR(INDEX(Lists!$B$5:$B$16,MATCH(J72,Lists!$A$5:$A$16,0)),0)+IFERROR(INDEX(Lists!$E$5:$E$8,MATCH(K72,Lists!$D$5:$D$8,0)),0)+IFERROR(INDEX(Lists!$H$5:$H$11,MATCH(M72,Lists!$G$5:$G$11,0)),0)+IFERROR(INDEX(Lists!$K$5:$K$9,MATCH(P72,Lists!$J$5:$J$9,0)),0))</f>
        <v/>
      </c>
      <c r="T72" s="6" t="str">
        <f t="shared" si="3"/>
        <v/>
      </c>
      <c r="U72" s="11"/>
      <c r="V72" s="7"/>
      <c r="W72" s="8"/>
      <c r="X72" s="11"/>
    </row>
    <row r="73" spans="1:24" x14ac:dyDescent="0.25">
      <c r="A73" s="6" t="str">
        <f t="shared" si="2"/>
        <v/>
      </c>
      <c r="B73" s="7"/>
      <c r="C73" s="8"/>
      <c r="D73" s="8"/>
      <c r="E73" s="8"/>
      <c r="F73" s="9"/>
      <c r="G73" s="8"/>
      <c r="H73" s="8"/>
      <c r="I73" s="8"/>
      <c r="J73" s="8"/>
      <c r="K73" s="8"/>
      <c r="L73" s="10"/>
      <c r="M73" s="8"/>
      <c r="N73" s="8"/>
      <c r="O73" s="11"/>
      <c r="P73" s="8"/>
      <c r="Q73" s="8"/>
      <c r="R73" s="8"/>
      <c r="S73" s="6" t="str">
        <f>IF($C73="","",IFERROR(INDEX(Lists!$B$5:$B$16,MATCH(J73,Lists!$A$5:$A$16,0)),0)+IFERROR(INDEX(Lists!$E$5:$E$8,MATCH(K73,Lists!$D$5:$D$8,0)),0)+IFERROR(INDEX(Lists!$H$5:$H$11,MATCH(M73,Lists!$G$5:$G$11,0)),0)+IFERROR(INDEX(Lists!$K$5:$K$9,MATCH(P73,Lists!$J$5:$J$9,0)),0))</f>
        <v/>
      </c>
      <c r="T73" s="6" t="str">
        <f t="shared" si="3"/>
        <v/>
      </c>
      <c r="U73" s="11"/>
      <c r="V73" s="7"/>
      <c r="W73" s="8"/>
      <c r="X73" s="11"/>
    </row>
    <row r="74" spans="1:24" x14ac:dyDescent="0.25">
      <c r="A74" s="6" t="str">
        <f t="shared" si="2"/>
        <v/>
      </c>
      <c r="B74" s="7"/>
      <c r="C74" s="8"/>
      <c r="D74" s="8"/>
      <c r="E74" s="8"/>
      <c r="F74" s="9"/>
      <c r="G74" s="8"/>
      <c r="H74" s="8"/>
      <c r="I74" s="8"/>
      <c r="J74" s="8"/>
      <c r="K74" s="8"/>
      <c r="L74" s="10"/>
      <c r="M74" s="8"/>
      <c r="N74" s="8"/>
      <c r="O74" s="11"/>
      <c r="P74" s="8"/>
      <c r="Q74" s="8"/>
      <c r="R74" s="8"/>
      <c r="S74" s="6" t="str">
        <f>IF($C74="","",IFERROR(INDEX(Lists!$B$5:$B$16,MATCH(J74,Lists!$A$5:$A$16,0)),0)+IFERROR(INDEX(Lists!$E$5:$E$8,MATCH(K74,Lists!$D$5:$D$8,0)),0)+IFERROR(INDEX(Lists!$H$5:$H$11,MATCH(M74,Lists!$G$5:$G$11,0)),0)+IFERROR(INDEX(Lists!$K$5:$K$9,MATCH(P74,Lists!$J$5:$J$9,0)),0))</f>
        <v/>
      </c>
      <c r="T74" s="6" t="str">
        <f t="shared" si="3"/>
        <v/>
      </c>
      <c r="U74" s="11"/>
      <c r="V74" s="7"/>
      <c r="W74" s="8"/>
      <c r="X74" s="11"/>
    </row>
    <row r="75" spans="1:24" x14ac:dyDescent="0.25">
      <c r="A75" s="6" t="str">
        <f t="shared" si="2"/>
        <v/>
      </c>
      <c r="B75" s="7"/>
      <c r="C75" s="8"/>
      <c r="D75" s="8"/>
      <c r="E75" s="8"/>
      <c r="F75" s="9"/>
      <c r="G75" s="8"/>
      <c r="H75" s="8"/>
      <c r="I75" s="8"/>
      <c r="J75" s="8"/>
      <c r="K75" s="8"/>
      <c r="L75" s="10"/>
      <c r="M75" s="8"/>
      <c r="N75" s="8"/>
      <c r="O75" s="11"/>
      <c r="P75" s="8"/>
      <c r="Q75" s="8"/>
      <c r="R75" s="8"/>
      <c r="S75" s="6" t="str">
        <f>IF($C75="","",IFERROR(INDEX(Lists!$B$5:$B$16,MATCH(J75,Lists!$A$5:$A$16,0)),0)+IFERROR(INDEX(Lists!$E$5:$E$8,MATCH(K75,Lists!$D$5:$D$8,0)),0)+IFERROR(INDEX(Lists!$H$5:$H$11,MATCH(M75,Lists!$G$5:$G$11,0)),0)+IFERROR(INDEX(Lists!$K$5:$K$9,MATCH(P75,Lists!$J$5:$J$9,0)),0))</f>
        <v/>
      </c>
      <c r="T75" s="6" t="str">
        <f t="shared" si="3"/>
        <v/>
      </c>
      <c r="U75" s="11"/>
      <c r="V75" s="7"/>
      <c r="W75" s="8"/>
      <c r="X75" s="11"/>
    </row>
    <row r="76" spans="1:24" x14ac:dyDescent="0.25">
      <c r="A76" s="6" t="str">
        <f t="shared" si="2"/>
        <v/>
      </c>
      <c r="B76" s="7"/>
      <c r="C76" s="8"/>
      <c r="D76" s="8"/>
      <c r="E76" s="8"/>
      <c r="F76" s="9"/>
      <c r="G76" s="8"/>
      <c r="H76" s="8"/>
      <c r="I76" s="8"/>
      <c r="J76" s="8"/>
      <c r="K76" s="8"/>
      <c r="L76" s="10"/>
      <c r="M76" s="8"/>
      <c r="N76" s="8"/>
      <c r="O76" s="11"/>
      <c r="P76" s="8"/>
      <c r="Q76" s="8"/>
      <c r="R76" s="8"/>
      <c r="S76" s="6" t="str">
        <f>IF($C76="","",IFERROR(INDEX(Lists!$B$5:$B$16,MATCH(J76,Lists!$A$5:$A$16,0)),0)+IFERROR(INDEX(Lists!$E$5:$E$8,MATCH(K76,Lists!$D$5:$D$8,0)),0)+IFERROR(INDEX(Lists!$H$5:$H$11,MATCH(M76,Lists!$G$5:$G$11,0)),0)+IFERROR(INDEX(Lists!$K$5:$K$9,MATCH(P76,Lists!$J$5:$J$9,0)),0))</f>
        <v/>
      </c>
      <c r="T76" s="6" t="str">
        <f t="shared" si="3"/>
        <v/>
      </c>
      <c r="U76" s="11"/>
      <c r="V76" s="7"/>
      <c r="W76" s="8"/>
      <c r="X76" s="11"/>
    </row>
    <row r="77" spans="1:24" x14ac:dyDescent="0.25">
      <c r="A77" s="6" t="str">
        <f t="shared" si="2"/>
        <v/>
      </c>
      <c r="B77" s="7"/>
      <c r="C77" s="8"/>
      <c r="D77" s="8"/>
      <c r="E77" s="8"/>
      <c r="F77" s="9"/>
      <c r="G77" s="8"/>
      <c r="H77" s="8"/>
      <c r="I77" s="8"/>
      <c r="J77" s="8"/>
      <c r="K77" s="8"/>
      <c r="L77" s="10"/>
      <c r="M77" s="8"/>
      <c r="N77" s="8"/>
      <c r="O77" s="11"/>
      <c r="P77" s="8"/>
      <c r="Q77" s="8"/>
      <c r="R77" s="8"/>
      <c r="S77" s="6" t="str">
        <f>IF($C77="","",IFERROR(INDEX(Lists!$B$5:$B$16,MATCH(J77,Lists!$A$5:$A$16,0)),0)+IFERROR(INDEX(Lists!$E$5:$E$8,MATCH(K77,Lists!$D$5:$D$8,0)),0)+IFERROR(INDEX(Lists!$H$5:$H$11,MATCH(M77,Lists!$G$5:$G$11,0)),0)+IFERROR(INDEX(Lists!$K$5:$K$9,MATCH(P77,Lists!$J$5:$J$9,0)),0))</f>
        <v/>
      </c>
      <c r="T77" s="6" t="str">
        <f t="shared" si="3"/>
        <v/>
      </c>
      <c r="U77" s="11"/>
      <c r="V77" s="7"/>
      <c r="W77" s="8"/>
      <c r="X77" s="11"/>
    </row>
    <row r="78" spans="1:24" x14ac:dyDescent="0.25">
      <c r="A78" s="6" t="str">
        <f t="shared" si="2"/>
        <v/>
      </c>
      <c r="B78" s="7"/>
      <c r="C78" s="8"/>
      <c r="D78" s="8"/>
      <c r="E78" s="8"/>
      <c r="F78" s="9"/>
      <c r="G78" s="8"/>
      <c r="H78" s="8"/>
      <c r="I78" s="8"/>
      <c r="J78" s="8"/>
      <c r="K78" s="8"/>
      <c r="L78" s="10"/>
      <c r="M78" s="8"/>
      <c r="N78" s="8"/>
      <c r="O78" s="11"/>
      <c r="P78" s="8"/>
      <c r="Q78" s="8"/>
      <c r="R78" s="8"/>
      <c r="S78" s="6" t="str">
        <f>IF($C78="","",IFERROR(INDEX(Lists!$B$5:$B$16,MATCH(J78,Lists!$A$5:$A$16,0)),0)+IFERROR(INDEX(Lists!$E$5:$E$8,MATCH(K78,Lists!$D$5:$D$8,0)),0)+IFERROR(INDEX(Lists!$H$5:$H$11,MATCH(M78,Lists!$G$5:$G$11,0)),0)+IFERROR(INDEX(Lists!$K$5:$K$9,MATCH(P78,Lists!$J$5:$J$9,0)),0))</f>
        <v/>
      </c>
      <c r="T78" s="6" t="str">
        <f t="shared" si="3"/>
        <v/>
      </c>
      <c r="U78" s="11"/>
      <c r="V78" s="7"/>
      <c r="W78" s="8"/>
      <c r="X78" s="11"/>
    </row>
    <row r="79" spans="1:24" x14ac:dyDescent="0.25">
      <c r="A79" s="6" t="str">
        <f t="shared" si="2"/>
        <v/>
      </c>
      <c r="B79" s="7"/>
      <c r="C79" s="8"/>
      <c r="D79" s="8"/>
      <c r="E79" s="8"/>
      <c r="F79" s="9"/>
      <c r="G79" s="8"/>
      <c r="H79" s="8"/>
      <c r="I79" s="8"/>
      <c r="J79" s="8"/>
      <c r="K79" s="8"/>
      <c r="L79" s="10"/>
      <c r="M79" s="8"/>
      <c r="N79" s="8"/>
      <c r="O79" s="11"/>
      <c r="P79" s="8"/>
      <c r="Q79" s="8"/>
      <c r="R79" s="8"/>
      <c r="S79" s="6" t="str">
        <f>IF($C79="","",IFERROR(INDEX(Lists!$B$5:$B$16,MATCH(J79,Lists!$A$5:$A$16,0)),0)+IFERROR(INDEX(Lists!$E$5:$E$8,MATCH(K79,Lists!$D$5:$D$8,0)),0)+IFERROR(INDEX(Lists!$H$5:$H$11,MATCH(M79,Lists!$G$5:$G$11,0)),0)+IFERROR(INDEX(Lists!$K$5:$K$9,MATCH(P79,Lists!$J$5:$J$9,0)),0))</f>
        <v/>
      </c>
      <c r="T79" s="6" t="str">
        <f t="shared" si="3"/>
        <v/>
      </c>
      <c r="U79" s="11"/>
      <c r="V79" s="7"/>
      <c r="W79" s="8"/>
      <c r="X79" s="11"/>
    </row>
    <row r="80" spans="1:24" x14ac:dyDescent="0.25">
      <c r="A80" s="6" t="str">
        <f t="shared" si="2"/>
        <v/>
      </c>
      <c r="B80" s="7"/>
      <c r="C80" s="8"/>
      <c r="D80" s="8"/>
      <c r="E80" s="8"/>
      <c r="F80" s="9"/>
      <c r="G80" s="8"/>
      <c r="H80" s="8"/>
      <c r="I80" s="8"/>
      <c r="J80" s="8"/>
      <c r="K80" s="8"/>
      <c r="L80" s="10"/>
      <c r="M80" s="8"/>
      <c r="N80" s="8"/>
      <c r="O80" s="11"/>
      <c r="P80" s="8"/>
      <c r="Q80" s="8"/>
      <c r="R80" s="8"/>
      <c r="S80" s="6" t="str">
        <f>IF($C80="","",IFERROR(INDEX(Lists!$B$5:$B$16,MATCH(J80,Lists!$A$5:$A$16,0)),0)+IFERROR(INDEX(Lists!$E$5:$E$8,MATCH(K80,Lists!$D$5:$D$8,0)),0)+IFERROR(INDEX(Lists!$H$5:$H$11,MATCH(M80,Lists!$G$5:$G$11,0)),0)+IFERROR(INDEX(Lists!$K$5:$K$9,MATCH(P80,Lists!$J$5:$J$9,0)),0))</f>
        <v/>
      </c>
      <c r="T80" s="6" t="str">
        <f t="shared" si="3"/>
        <v/>
      </c>
      <c r="U80" s="11"/>
      <c r="V80" s="7"/>
      <c r="W80" s="8"/>
      <c r="X80" s="11"/>
    </row>
    <row r="81" spans="1:24" x14ac:dyDescent="0.25">
      <c r="A81" s="6" t="str">
        <f t="shared" si="2"/>
        <v/>
      </c>
      <c r="B81" s="7"/>
      <c r="C81" s="8"/>
      <c r="D81" s="8"/>
      <c r="E81" s="8"/>
      <c r="F81" s="9"/>
      <c r="G81" s="8"/>
      <c r="H81" s="8"/>
      <c r="I81" s="8"/>
      <c r="J81" s="8"/>
      <c r="K81" s="8"/>
      <c r="L81" s="10"/>
      <c r="M81" s="8"/>
      <c r="N81" s="8"/>
      <c r="O81" s="11"/>
      <c r="P81" s="8"/>
      <c r="Q81" s="8"/>
      <c r="R81" s="8"/>
      <c r="S81" s="6" t="str">
        <f>IF($C81="","",IFERROR(INDEX(Lists!$B$5:$B$16,MATCH(J81,Lists!$A$5:$A$16,0)),0)+IFERROR(INDEX(Lists!$E$5:$E$8,MATCH(K81,Lists!$D$5:$D$8,0)),0)+IFERROR(INDEX(Lists!$H$5:$H$11,MATCH(M81,Lists!$G$5:$G$11,0)),0)+IFERROR(INDEX(Lists!$K$5:$K$9,MATCH(P81,Lists!$J$5:$J$9,0)),0))</f>
        <v/>
      </c>
      <c r="T81" s="6" t="str">
        <f t="shared" si="3"/>
        <v/>
      </c>
      <c r="U81" s="11"/>
      <c r="V81" s="7"/>
      <c r="W81" s="8"/>
      <c r="X81" s="11"/>
    </row>
    <row r="82" spans="1:24" x14ac:dyDescent="0.25">
      <c r="A82" s="6" t="str">
        <f t="shared" si="2"/>
        <v/>
      </c>
      <c r="B82" s="7"/>
      <c r="C82" s="8"/>
      <c r="D82" s="8"/>
      <c r="E82" s="8"/>
      <c r="F82" s="9"/>
      <c r="G82" s="8"/>
      <c r="H82" s="8"/>
      <c r="I82" s="8"/>
      <c r="J82" s="8"/>
      <c r="K82" s="8"/>
      <c r="L82" s="10"/>
      <c r="M82" s="8"/>
      <c r="N82" s="8"/>
      <c r="O82" s="11"/>
      <c r="P82" s="8"/>
      <c r="Q82" s="8"/>
      <c r="R82" s="8"/>
      <c r="S82" s="6" t="str">
        <f>IF($C82="","",IFERROR(INDEX(Lists!$B$5:$B$16,MATCH(J82,Lists!$A$5:$A$16,0)),0)+IFERROR(INDEX(Lists!$E$5:$E$8,MATCH(K82,Lists!$D$5:$D$8,0)),0)+IFERROR(INDEX(Lists!$H$5:$H$11,MATCH(M82,Lists!$G$5:$G$11,0)),0)+IFERROR(INDEX(Lists!$K$5:$K$9,MATCH(P82,Lists!$J$5:$J$9,0)),0))</f>
        <v/>
      </c>
      <c r="T82" s="6" t="str">
        <f t="shared" si="3"/>
        <v/>
      </c>
      <c r="U82" s="11"/>
      <c r="V82" s="7"/>
      <c r="W82" s="8"/>
      <c r="X82" s="11"/>
    </row>
    <row r="83" spans="1:24" x14ac:dyDescent="0.25">
      <c r="A83" s="6" t="str">
        <f t="shared" si="2"/>
        <v/>
      </c>
      <c r="B83" s="7"/>
      <c r="C83" s="8"/>
      <c r="D83" s="8"/>
      <c r="E83" s="8"/>
      <c r="F83" s="9"/>
      <c r="G83" s="8"/>
      <c r="H83" s="8"/>
      <c r="I83" s="8"/>
      <c r="J83" s="8"/>
      <c r="K83" s="8"/>
      <c r="L83" s="10"/>
      <c r="M83" s="8"/>
      <c r="N83" s="8"/>
      <c r="O83" s="11"/>
      <c r="P83" s="8"/>
      <c r="Q83" s="8"/>
      <c r="R83" s="8"/>
      <c r="S83" s="6" t="str">
        <f>IF($C83="","",IFERROR(INDEX(Lists!$B$5:$B$16,MATCH(J83,Lists!$A$5:$A$16,0)),0)+IFERROR(INDEX(Lists!$E$5:$E$8,MATCH(K83,Lists!$D$5:$D$8,0)),0)+IFERROR(INDEX(Lists!$H$5:$H$11,MATCH(M83,Lists!$G$5:$G$11,0)),0)+IFERROR(INDEX(Lists!$K$5:$K$9,MATCH(P83,Lists!$J$5:$J$9,0)),0))</f>
        <v/>
      </c>
      <c r="T83" s="6" t="str">
        <f t="shared" si="3"/>
        <v/>
      </c>
      <c r="U83" s="11"/>
      <c r="V83" s="7"/>
      <c r="W83" s="8"/>
      <c r="X83" s="11"/>
    </row>
    <row r="84" spans="1:24" x14ac:dyDescent="0.25">
      <c r="A84" s="6" t="str">
        <f t="shared" si="2"/>
        <v/>
      </c>
      <c r="B84" s="7"/>
      <c r="C84" s="8"/>
      <c r="D84" s="8"/>
      <c r="E84" s="8"/>
      <c r="F84" s="9"/>
      <c r="G84" s="8"/>
      <c r="H84" s="8"/>
      <c r="I84" s="8"/>
      <c r="J84" s="8"/>
      <c r="K84" s="8"/>
      <c r="L84" s="10"/>
      <c r="M84" s="8"/>
      <c r="N84" s="8"/>
      <c r="O84" s="11"/>
      <c r="P84" s="8"/>
      <c r="Q84" s="8"/>
      <c r="R84" s="8"/>
      <c r="S84" s="6" t="str">
        <f>IF($C84="","",IFERROR(INDEX(Lists!$B$5:$B$16,MATCH(J84,Lists!$A$5:$A$16,0)),0)+IFERROR(INDEX(Lists!$E$5:$E$8,MATCH(K84,Lists!$D$5:$D$8,0)),0)+IFERROR(INDEX(Lists!$H$5:$H$11,MATCH(M84,Lists!$G$5:$G$11,0)),0)+IFERROR(INDEX(Lists!$K$5:$K$9,MATCH(P84,Lists!$J$5:$J$9,0)),0))</f>
        <v/>
      </c>
      <c r="T84" s="6" t="str">
        <f t="shared" si="3"/>
        <v/>
      </c>
      <c r="U84" s="11"/>
      <c r="V84" s="7"/>
      <c r="W84" s="8"/>
      <c r="X84" s="11"/>
    </row>
    <row r="85" spans="1:24" x14ac:dyDescent="0.25">
      <c r="A85" s="6" t="str">
        <f t="shared" si="2"/>
        <v/>
      </c>
      <c r="B85" s="7"/>
      <c r="C85" s="8"/>
      <c r="D85" s="8"/>
      <c r="E85" s="8"/>
      <c r="F85" s="9"/>
      <c r="G85" s="8"/>
      <c r="H85" s="8"/>
      <c r="I85" s="8"/>
      <c r="J85" s="8"/>
      <c r="K85" s="8"/>
      <c r="L85" s="10"/>
      <c r="M85" s="8"/>
      <c r="N85" s="8"/>
      <c r="O85" s="11"/>
      <c r="P85" s="8"/>
      <c r="Q85" s="8"/>
      <c r="R85" s="8"/>
      <c r="S85" s="6" t="str">
        <f>IF($C85="","",IFERROR(INDEX(Lists!$B$5:$B$16,MATCH(J85,Lists!$A$5:$A$16,0)),0)+IFERROR(INDEX(Lists!$E$5:$E$8,MATCH(K85,Lists!$D$5:$D$8,0)),0)+IFERROR(INDEX(Lists!$H$5:$H$11,MATCH(M85,Lists!$G$5:$G$11,0)),0)+IFERROR(INDEX(Lists!$K$5:$K$9,MATCH(P85,Lists!$J$5:$J$9,0)),0))</f>
        <v/>
      </c>
      <c r="T85" s="6" t="str">
        <f t="shared" si="3"/>
        <v/>
      </c>
      <c r="U85" s="11"/>
      <c r="V85" s="7"/>
      <c r="W85" s="8"/>
      <c r="X85" s="11"/>
    </row>
    <row r="86" spans="1:24" x14ac:dyDescent="0.25">
      <c r="A86" s="6" t="str">
        <f t="shared" si="2"/>
        <v/>
      </c>
      <c r="B86" s="7"/>
      <c r="C86" s="8"/>
      <c r="D86" s="8"/>
      <c r="E86" s="8"/>
      <c r="F86" s="9"/>
      <c r="G86" s="8"/>
      <c r="H86" s="8"/>
      <c r="I86" s="8"/>
      <c r="J86" s="8"/>
      <c r="K86" s="8"/>
      <c r="L86" s="10"/>
      <c r="M86" s="8"/>
      <c r="N86" s="8"/>
      <c r="O86" s="11"/>
      <c r="P86" s="8"/>
      <c r="Q86" s="8"/>
      <c r="R86" s="8"/>
      <c r="S86" s="6" t="str">
        <f>IF($C86="","",IFERROR(INDEX(Lists!$B$5:$B$16,MATCH(J86,Lists!$A$5:$A$16,0)),0)+IFERROR(INDEX(Lists!$E$5:$E$8,MATCH(K86,Lists!$D$5:$D$8,0)),0)+IFERROR(INDEX(Lists!$H$5:$H$11,MATCH(M86,Lists!$G$5:$G$11,0)),0)+IFERROR(INDEX(Lists!$K$5:$K$9,MATCH(P86,Lists!$J$5:$J$9,0)),0))</f>
        <v/>
      </c>
      <c r="T86" s="6" t="str">
        <f t="shared" si="3"/>
        <v/>
      </c>
      <c r="U86" s="11"/>
      <c r="V86" s="7"/>
      <c r="W86" s="8"/>
      <c r="X86" s="11"/>
    </row>
    <row r="87" spans="1:24" x14ac:dyDescent="0.25">
      <c r="A87" s="6" t="str">
        <f t="shared" si="2"/>
        <v/>
      </c>
      <c r="B87" s="7"/>
      <c r="C87" s="8"/>
      <c r="D87" s="8"/>
      <c r="E87" s="8"/>
      <c r="F87" s="9"/>
      <c r="G87" s="8"/>
      <c r="H87" s="8"/>
      <c r="I87" s="8"/>
      <c r="J87" s="8"/>
      <c r="K87" s="8"/>
      <c r="L87" s="10"/>
      <c r="M87" s="8"/>
      <c r="N87" s="8"/>
      <c r="O87" s="11"/>
      <c r="P87" s="8"/>
      <c r="Q87" s="8"/>
      <c r="R87" s="8"/>
      <c r="S87" s="6" t="str">
        <f>IF($C87="","",IFERROR(INDEX(Lists!$B$5:$B$16,MATCH(J87,Lists!$A$5:$A$16,0)),0)+IFERROR(INDEX(Lists!$E$5:$E$8,MATCH(K87,Lists!$D$5:$D$8,0)),0)+IFERROR(INDEX(Lists!$H$5:$H$11,MATCH(M87,Lists!$G$5:$G$11,0)),0)+IFERROR(INDEX(Lists!$K$5:$K$9,MATCH(P87,Lists!$J$5:$J$9,0)),0))</f>
        <v/>
      </c>
      <c r="T87" s="6" t="str">
        <f t="shared" si="3"/>
        <v/>
      </c>
      <c r="U87" s="11"/>
      <c r="V87" s="7"/>
      <c r="W87" s="8"/>
      <c r="X87" s="11"/>
    </row>
    <row r="88" spans="1:24" x14ac:dyDescent="0.25">
      <c r="A88" s="6" t="str">
        <f t="shared" si="2"/>
        <v/>
      </c>
      <c r="B88" s="7"/>
      <c r="C88" s="8"/>
      <c r="D88" s="8"/>
      <c r="E88" s="8"/>
      <c r="F88" s="9"/>
      <c r="G88" s="8"/>
      <c r="H88" s="8"/>
      <c r="I88" s="8"/>
      <c r="J88" s="8"/>
      <c r="K88" s="8"/>
      <c r="L88" s="10"/>
      <c r="M88" s="8"/>
      <c r="N88" s="8"/>
      <c r="O88" s="11"/>
      <c r="P88" s="8"/>
      <c r="Q88" s="8"/>
      <c r="R88" s="8"/>
      <c r="S88" s="6" t="str">
        <f>IF($C88="","",IFERROR(INDEX(Lists!$B$5:$B$16,MATCH(J88,Lists!$A$5:$A$16,0)),0)+IFERROR(INDEX(Lists!$E$5:$E$8,MATCH(K88,Lists!$D$5:$D$8,0)),0)+IFERROR(INDEX(Lists!$H$5:$H$11,MATCH(M88,Lists!$G$5:$G$11,0)),0)+IFERROR(INDEX(Lists!$K$5:$K$9,MATCH(P88,Lists!$J$5:$J$9,0)),0))</f>
        <v/>
      </c>
      <c r="T88" s="6" t="str">
        <f t="shared" si="3"/>
        <v/>
      </c>
      <c r="U88" s="11"/>
      <c r="V88" s="7"/>
      <c r="W88" s="8"/>
      <c r="X88" s="11"/>
    </row>
    <row r="89" spans="1:24" x14ac:dyDescent="0.25">
      <c r="A89" s="6" t="str">
        <f t="shared" si="2"/>
        <v/>
      </c>
      <c r="B89" s="7"/>
      <c r="C89" s="8"/>
      <c r="D89" s="8"/>
      <c r="E89" s="8"/>
      <c r="F89" s="9"/>
      <c r="G89" s="8"/>
      <c r="H89" s="8"/>
      <c r="I89" s="8"/>
      <c r="J89" s="8"/>
      <c r="K89" s="8"/>
      <c r="L89" s="10"/>
      <c r="M89" s="8"/>
      <c r="N89" s="8"/>
      <c r="O89" s="11"/>
      <c r="P89" s="8"/>
      <c r="Q89" s="8"/>
      <c r="R89" s="8"/>
      <c r="S89" s="6" t="str">
        <f>IF($C89="","",IFERROR(INDEX(Lists!$B$5:$B$16,MATCH(J89,Lists!$A$5:$A$16,0)),0)+IFERROR(INDEX(Lists!$E$5:$E$8,MATCH(K89,Lists!$D$5:$D$8,0)),0)+IFERROR(INDEX(Lists!$H$5:$H$11,MATCH(M89,Lists!$G$5:$G$11,0)),0)+IFERROR(INDEX(Lists!$K$5:$K$9,MATCH(P89,Lists!$J$5:$J$9,0)),0))</f>
        <v/>
      </c>
      <c r="T89" s="6" t="str">
        <f t="shared" si="3"/>
        <v/>
      </c>
      <c r="U89" s="11"/>
      <c r="V89" s="7"/>
      <c r="W89" s="8"/>
      <c r="X89" s="11"/>
    </row>
    <row r="90" spans="1:24" x14ac:dyDescent="0.25">
      <c r="A90" s="6" t="str">
        <f t="shared" si="2"/>
        <v/>
      </c>
      <c r="B90" s="7"/>
      <c r="C90" s="8"/>
      <c r="D90" s="8"/>
      <c r="E90" s="8"/>
      <c r="F90" s="9"/>
      <c r="G90" s="8"/>
      <c r="H90" s="8"/>
      <c r="I90" s="8"/>
      <c r="J90" s="8"/>
      <c r="K90" s="8"/>
      <c r="L90" s="10"/>
      <c r="M90" s="8"/>
      <c r="N90" s="8"/>
      <c r="O90" s="11"/>
      <c r="P90" s="8"/>
      <c r="Q90" s="8"/>
      <c r="R90" s="8"/>
      <c r="S90" s="6" t="str">
        <f>IF($C90="","",IFERROR(INDEX(Lists!$B$5:$B$16,MATCH(J90,Lists!$A$5:$A$16,0)),0)+IFERROR(INDEX(Lists!$E$5:$E$8,MATCH(K90,Lists!$D$5:$D$8,0)),0)+IFERROR(INDEX(Lists!$H$5:$H$11,MATCH(M90,Lists!$G$5:$G$11,0)),0)+IFERROR(INDEX(Lists!$K$5:$K$9,MATCH(P90,Lists!$J$5:$J$9,0)),0))</f>
        <v/>
      </c>
      <c r="T90" s="6" t="str">
        <f t="shared" si="3"/>
        <v/>
      </c>
      <c r="U90" s="11"/>
      <c r="V90" s="7"/>
      <c r="W90" s="8"/>
      <c r="X90" s="11"/>
    </row>
    <row r="91" spans="1:24" x14ac:dyDescent="0.25">
      <c r="A91" s="6" t="str">
        <f t="shared" si="2"/>
        <v/>
      </c>
      <c r="B91" s="7"/>
      <c r="C91" s="8"/>
      <c r="D91" s="8"/>
      <c r="E91" s="8"/>
      <c r="F91" s="9"/>
      <c r="G91" s="8"/>
      <c r="H91" s="8"/>
      <c r="I91" s="8"/>
      <c r="J91" s="8"/>
      <c r="K91" s="8"/>
      <c r="L91" s="10"/>
      <c r="M91" s="8"/>
      <c r="N91" s="8"/>
      <c r="O91" s="11"/>
      <c r="P91" s="8"/>
      <c r="Q91" s="8"/>
      <c r="R91" s="8"/>
      <c r="S91" s="6" t="str">
        <f>IF($C91="","",IFERROR(INDEX(Lists!$B$5:$B$16,MATCH(J91,Lists!$A$5:$A$16,0)),0)+IFERROR(INDEX(Lists!$E$5:$E$8,MATCH(K91,Lists!$D$5:$D$8,0)),0)+IFERROR(INDEX(Lists!$H$5:$H$11,MATCH(M91,Lists!$G$5:$G$11,0)),0)+IFERROR(INDEX(Lists!$K$5:$K$9,MATCH(P91,Lists!$J$5:$J$9,0)),0))</f>
        <v/>
      </c>
      <c r="T91" s="6" t="str">
        <f t="shared" si="3"/>
        <v/>
      </c>
      <c r="U91" s="11"/>
      <c r="V91" s="7"/>
      <c r="W91" s="8"/>
      <c r="X91" s="11"/>
    </row>
    <row r="92" spans="1:24" x14ac:dyDescent="0.25">
      <c r="A92" s="6" t="str">
        <f t="shared" si="2"/>
        <v/>
      </c>
      <c r="B92" s="7"/>
      <c r="C92" s="8"/>
      <c r="D92" s="8"/>
      <c r="E92" s="8"/>
      <c r="F92" s="9"/>
      <c r="G92" s="8"/>
      <c r="H92" s="8"/>
      <c r="I92" s="8"/>
      <c r="J92" s="8"/>
      <c r="K92" s="8"/>
      <c r="L92" s="10"/>
      <c r="M92" s="8"/>
      <c r="N92" s="8"/>
      <c r="O92" s="11"/>
      <c r="P92" s="8"/>
      <c r="Q92" s="8"/>
      <c r="R92" s="8"/>
      <c r="S92" s="6" t="str">
        <f>IF($C92="","",IFERROR(INDEX(Lists!$B$5:$B$16,MATCH(J92,Lists!$A$5:$A$16,0)),0)+IFERROR(INDEX(Lists!$E$5:$E$8,MATCH(K92,Lists!$D$5:$D$8,0)),0)+IFERROR(INDEX(Lists!$H$5:$H$11,MATCH(M92,Lists!$G$5:$G$11,0)),0)+IFERROR(INDEX(Lists!$K$5:$K$9,MATCH(P92,Lists!$J$5:$J$9,0)),0))</f>
        <v/>
      </c>
      <c r="T92" s="6" t="str">
        <f t="shared" si="3"/>
        <v/>
      </c>
      <c r="U92" s="11"/>
      <c r="V92" s="7"/>
      <c r="W92" s="8"/>
      <c r="X92" s="11"/>
    </row>
    <row r="93" spans="1:24" x14ac:dyDescent="0.25">
      <c r="A93" s="6" t="str">
        <f t="shared" si="2"/>
        <v/>
      </c>
      <c r="B93" s="7"/>
      <c r="C93" s="8"/>
      <c r="D93" s="8"/>
      <c r="E93" s="8"/>
      <c r="F93" s="9"/>
      <c r="G93" s="8"/>
      <c r="H93" s="8"/>
      <c r="I93" s="8"/>
      <c r="J93" s="8"/>
      <c r="K93" s="8"/>
      <c r="L93" s="10"/>
      <c r="M93" s="8"/>
      <c r="N93" s="8"/>
      <c r="O93" s="11"/>
      <c r="P93" s="8"/>
      <c r="Q93" s="8"/>
      <c r="R93" s="8"/>
      <c r="S93" s="6" t="str">
        <f>IF($C93="","",IFERROR(INDEX(Lists!$B$5:$B$16,MATCH(J93,Lists!$A$5:$A$16,0)),0)+IFERROR(INDEX(Lists!$E$5:$E$8,MATCH(K93,Lists!$D$5:$D$8,0)),0)+IFERROR(INDEX(Lists!$H$5:$H$11,MATCH(M93,Lists!$G$5:$G$11,0)),0)+IFERROR(INDEX(Lists!$K$5:$K$9,MATCH(P93,Lists!$J$5:$J$9,0)),0))</f>
        <v/>
      </c>
      <c r="T93" s="6" t="str">
        <f t="shared" si="3"/>
        <v/>
      </c>
      <c r="U93" s="11"/>
      <c r="V93" s="7"/>
      <c r="W93" s="8"/>
      <c r="X93" s="11"/>
    </row>
    <row r="94" spans="1:24" x14ac:dyDescent="0.25">
      <c r="A94" s="6" t="str">
        <f t="shared" si="2"/>
        <v/>
      </c>
      <c r="B94" s="7"/>
      <c r="C94" s="8"/>
      <c r="D94" s="8"/>
      <c r="E94" s="8"/>
      <c r="F94" s="9"/>
      <c r="G94" s="8"/>
      <c r="H94" s="8"/>
      <c r="I94" s="8"/>
      <c r="J94" s="8"/>
      <c r="K94" s="8"/>
      <c r="L94" s="10"/>
      <c r="M94" s="8"/>
      <c r="N94" s="8"/>
      <c r="O94" s="11"/>
      <c r="P94" s="8"/>
      <c r="Q94" s="8"/>
      <c r="R94" s="8"/>
      <c r="S94" s="6" t="str">
        <f>IF($C94="","",IFERROR(INDEX(Lists!$B$5:$B$16,MATCH(J94,Lists!$A$5:$A$16,0)),0)+IFERROR(INDEX(Lists!$E$5:$E$8,MATCH(K94,Lists!$D$5:$D$8,0)),0)+IFERROR(INDEX(Lists!$H$5:$H$11,MATCH(M94,Lists!$G$5:$G$11,0)),0)+IFERROR(INDEX(Lists!$K$5:$K$9,MATCH(P94,Lists!$J$5:$J$9,0)),0))</f>
        <v/>
      </c>
      <c r="T94" s="6" t="str">
        <f t="shared" si="3"/>
        <v/>
      </c>
      <c r="U94" s="11"/>
      <c r="V94" s="7"/>
      <c r="W94" s="8"/>
      <c r="X94" s="11"/>
    </row>
    <row r="95" spans="1:24" x14ac:dyDescent="0.25">
      <c r="A95" s="6" t="str">
        <f t="shared" si="2"/>
        <v/>
      </c>
      <c r="B95" s="7"/>
      <c r="C95" s="8"/>
      <c r="D95" s="8"/>
      <c r="E95" s="8"/>
      <c r="F95" s="9"/>
      <c r="G95" s="8"/>
      <c r="H95" s="8"/>
      <c r="I95" s="8"/>
      <c r="J95" s="8"/>
      <c r="K95" s="8"/>
      <c r="L95" s="10"/>
      <c r="M95" s="8"/>
      <c r="N95" s="8"/>
      <c r="O95" s="11"/>
      <c r="P95" s="8"/>
      <c r="Q95" s="8"/>
      <c r="R95" s="8"/>
      <c r="S95" s="6" t="str">
        <f>IF($C95="","",IFERROR(INDEX(Lists!$B$5:$B$16,MATCH(J95,Lists!$A$5:$A$16,0)),0)+IFERROR(INDEX(Lists!$E$5:$E$8,MATCH(K95,Lists!$D$5:$D$8,0)),0)+IFERROR(INDEX(Lists!$H$5:$H$11,MATCH(M95,Lists!$G$5:$G$11,0)),0)+IFERROR(INDEX(Lists!$K$5:$K$9,MATCH(P95,Lists!$J$5:$J$9,0)),0))</f>
        <v/>
      </c>
      <c r="T95" s="6" t="str">
        <f t="shared" si="3"/>
        <v/>
      </c>
      <c r="U95" s="11"/>
      <c r="V95" s="7"/>
      <c r="W95" s="8"/>
      <c r="X95" s="11"/>
    </row>
    <row r="96" spans="1:24" x14ac:dyDescent="0.25">
      <c r="A96" s="6" t="str">
        <f t="shared" si="2"/>
        <v/>
      </c>
      <c r="B96" s="7"/>
      <c r="C96" s="8"/>
      <c r="D96" s="8"/>
      <c r="E96" s="8"/>
      <c r="F96" s="9"/>
      <c r="G96" s="8"/>
      <c r="H96" s="8"/>
      <c r="I96" s="8"/>
      <c r="J96" s="8"/>
      <c r="K96" s="8"/>
      <c r="L96" s="10"/>
      <c r="M96" s="8"/>
      <c r="N96" s="8"/>
      <c r="O96" s="11"/>
      <c r="P96" s="8"/>
      <c r="Q96" s="8"/>
      <c r="R96" s="8"/>
      <c r="S96" s="6" t="str">
        <f>IF($C96="","",IFERROR(INDEX(Lists!$B$5:$B$16,MATCH(J96,Lists!$A$5:$A$16,0)),0)+IFERROR(INDEX(Lists!$E$5:$E$8,MATCH(K96,Lists!$D$5:$D$8,0)),0)+IFERROR(INDEX(Lists!$H$5:$H$11,MATCH(M96,Lists!$G$5:$G$11,0)),0)+IFERROR(INDEX(Lists!$K$5:$K$9,MATCH(P96,Lists!$J$5:$J$9,0)),0))</f>
        <v/>
      </c>
      <c r="T96" s="6" t="str">
        <f t="shared" si="3"/>
        <v/>
      </c>
      <c r="U96" s="11"/>
      <c r="V96" s="7"/>
      <c r="W96" s="8"/>
      <c r="X96" s="11"/>
    </row>
    <row r="97" spans="1:24" x14ac:dyDescent="0.25">
      <c r="A97" s="6" t="str">
        <f t="shared" si="2"/>
        <v/>
      </c>
      <c r="B97" s="7"/>
      <c r="C97" s="8"/>
      <c r="D97" s="8"/>
      <c r="E97" s="8"/>
      <c r="F97" s="9"/>
      <c r="G97" s="8"/>
      <c r="H97" s="8"/>
      <c r="I97" s="8"/>
      <c r="J97" s="8"/>
      <c r="K97" s="8"/>
      <c r="L97" s="10"/>
      <c r="M97" s="8"/>
      <c r="N97" s="8"/>
      <c r="O97" s="11"/>
      <c r="P97" s="8"/>
      <c r="Q97" s="8"/>
      <c r="R97" s="8"/>
      <c r="S97" s="6" t="str">
        <f>IF($C97="","",IFERROR(INDEX(Lists!$B$5:$B$16,MATCH(J97,Lists!$A$5:$A$16,0)),0)+IFERROR(INDEX(Lists!$E$5:$E$8,MATCH(K97,Lists!$D$5:$D$8,0)),0)+IFERROR(INDEX(Lists!$H$5:$H$11,MATCH(M97,Lists!$G$5:$G$11,0)),0)+IFERROR(INDEX(Lists!$K$5:$K$9,MATCH(P97,Lists!$J$5:$J$9,0)),0))</f>
        <v/>
      </c>
      <c r="T97" s="6" t="str">
        <f t="shared" si="3"/>
        <v/>
      </c>
      <c r="U97" s="11"/>
      <c r="V97" s="7"/>
      <c r="W97" s="8"/>
      <c r="X97" s="11"/>
    </row>
    <row r="98" spans="1:24" x14ac:dyDescent="0.25">
      <c r="A98" s="6" t="str">
        <f t="shared" si="2"/>
        <v/>
      </c>
      <c r="B98" s="7"/>
      <c r="C98" s="8"/>
      <c r="D98" s="8"/>
      <c r="E98" s="8"/>
      <c r="F98" s="9"/>
      <c r="G98" s="8"/>
      <c r="H98" s="8"/>
      <c r="I98" s="8"/>
      <c r="J98" s="8"/>
      <c r="K98" s="8"/>
      <c r="L98" s="10"/>
      <c r="M98" s="8"/>
      <c r="N98" s="8"/>
      <c r="O98" s="11"/>
      <c r="P98" s="8"/>
      <c r="Q98" s="8"/>
      <c r="R98" s="8"/>
      <c r="S98" s="6" t="str">
        <f>IF($C98="","",IFERROR(INDEX(Lists!$B$5:$B$16,MATCH(J98,Lists!$A$5:$A$16,0)),0)+IFERROR(INDEX(Lists!$E$5:$E$8,MATCH(K98,Lists!$D$5:$D$8,0)),0)+IFERROR(INDEX(Lists!$H$5:$H$11,MATCH(M98,Lists!$G$5:$G$11,0)),0)+IFERROR(INDEX(Lists!$K$5:$K$9,MATCH(P98,Lists!$J$5:$J$9,0)),0))</f>
        <v/>
      </c>
      <c r="T98" s="6" t="str">
        <f t="shared" si="3"/>
        <v/>
      </c>
      <c r="U98" s="11"/>
      <c r="V98" s="7"/>
      <c r="W98" s="8"/>
      <c r="X98" s="11"/>
    </row>
    <row r="99" spans="1:24" x14ac:dyDescent="0.25">
      <c r="A99" s="6" t="str">
        <f t="shared" si="2"/>
        <v/>
      </c>
      <c r="B99" s="7"/>
      <c r="C99" s="8"/>
      <c r="D99" s="8"/>
      <c r="E99" s="8"/>
      <c r="F99" s="9"/>
      <c r="G99" s="8"/>
      <c r="H99" s="8"/>
      <c r="I99" s="8"/>
      <c r="J99" s="8"/>
      <c r="K99" s="8"/>
      <c r="L99" s="10"/>
      <c r="M99" s="8"/>
      <c r="N99" s="8"/>
      <c r="O99" s="11"/>
      <c r="P99" s="8"/>
      <c r="Q99" s="8"/>
      <c r="R99" s="8"/>
      <c r="S99" s="6" t="str">
        <f>IF($C99="","",IFERROR(INDEX(Lists!$B$5:$B$16,MATCH(J99,Lists!$A$5:$A$16,0)),0)+IFERROR(INDEX(Lists!$E$5:$E$8,MATCH(K99,Lists!$D$5:$D$8,0)),0)+IFERROR(INDEX(Lists!$H$5:$H$11,MATCH(M99,Lists!$G$5:$G$11,0)),0)+IFERROR(INDEX(Lists!$K$5:$K$9,MATCH(P99,Lists!$J$5:$J$9,0)),0))</f>
        <v/>
      </c>
      <c r="T99" s="6" t="str">
        <f t="shared" si="3"/>
        <v/>
      </c>
      <c r="U99" s="11"/>
      <c r="V99" s="7"/>
      <c r="W99" s="8"/>
      <c r="X99" s="11"/>
    </row>
    <row r="100" spans="1:24" x14ac:dyDescent="0.25">
      <c r="A100" s="6" t="str">
        <f t="shared" si="2"/>
        <v/>
      </c>
      <c r="B100" s="7"/>
      <c r="C100" s="8"/>
      <c r="D100" s="8"/>
      <c r="E100" s="8"/>
      <c r="F100" s="9"/>
      <c r="G100" s="8"/>
      <c r="H100" s="8"/>
      <c r="I100" s="8"/>
      <c r="J100" s="8"/>
      <c r="K100" s="8"/>
      <c r="L100" s="10"/>
      <c r="M100" s="8"/>
      <c r="N100" s="8"/>
      <c r="O100" s="11"/>
      <c r="P100" s="8"/>
      <c r="Q100" s="8"/>
      <c r="R100" s="8"/>
      <c r="S100" s="6" t="str">
        <f>IF($C100="","",IFERROR(INDEX(Lists!$B$5:$B$16,MATCH(J100,Lists!$A$5:$A$16,0)),0)+IFERROR(INDEX(Lists!$E$5:$E$8,MATCH(K100,Lists!$D$5:$D$8,0)),0)+IFERROR(INDEX(Lists!$H$5:$H$11,MATCH(M100,Lists!$G$5:$G$11,0)),0)+IFERROR(INDEX(Lists!$K$5:$K$9,MATCH(P100,Lists!$J$5:$J$9,0)),0))</f>
        <v/>
      </c>
      <c r="T100" s="6" t="str">
        <f t="shared" si="3"/>
        <v/>
      </c>
      <c r="U100" s="11"/>
      <c r="V100" s="7"/>
      <c r="W100" s="8"/>
      <c r="X100" s="11"/>
    </row>
    <row r="101" spans="1:24" x14ac:dyDescent="0.25">
      <c r="A101" s="6" t="str">
        <f t="shared" si="2"/>
        <v/>
      </c>
      <c r="B101" s="7"/>
      <c r="C101" s="8"/>
      <c r="D101" s="8"/>
      <c r="E101" s="8"/>
      <c r="F101" s="9"/>
      <c r="G101" s="8"/>
      <c r="H101" s="8"/>
      <c r="I101" s="8"/>
      <c r="J101" s="8"/>
      <c r="K101" s="8"/>
      <c r="L101" s="10"/>
      <c r="M101" s="8"/>
      <c r="N101" s="8"/>
      <c r="O101" s="11"/>
      <c r="P101" s="8"/>
      <c r="Q101" s="8"/>
      <c r="R101" s="8"/>
      <c r="S101" s="6" t="str">
        <f>IF($C101="","",IFERROR(INDEX(Lists!$B$5:$B$16,MATCH(J101,Lists!$A$5:$A$16,0)),0)+IFERROR(INDEX(Lists!$E$5:$E$8,MATCH(K101,Lists!$D$5:$D$8,0)),0)+IFERROR(INDEX(Lists!$H$5:$H$11,MATCH(M101,Lists!$G$5:$G$11,0)),0)+IFERROR(INDEX(Lists!$K$5:$K$9,MATCH(P101,Lists!$J$5:$J$9,0)),0))</f>
        <v/>
      </c>
      <c r="T101" s="6" t="str">
        <f t="shared" si="3"/>
        <v/>
      </c>
      <c r="U101" s="11"/>
      <c r="V101" s="7"/>
      <c r="W101" s="8"/>
      <c r="X101" s="11"/>
    </row>
    <row r="102" spans="1:24" x14ac:dyDescent="0.25">
      <c r="A102" s="6" t="str">
        <f t="shared" si="2"/>
        <v/>
      </c>
      <c r="B102" s="7"/>
      <c r="C102" s="8"/>
      <c r="D102" s="8"/>
      <c r="E102" s="8"/>
      <c r="F102" s="9"/>
      <c r="G102" s="8"/>
      <c r="H102" s="8"/>
      <c r="I102" s="8"/>
      <c r="J102" s="8"/>
      <c r="K102" s="8"/>
      <c r="L102" s="10"/>
      <c r="M102" s="8"/>
      <c r="N102" s="8"/>
      <c r="O102" s="11"/>
      <c r="P102" s="8"/>
      <c r="Q102" s="8"/>
      <c r="R102" s="8"/>
      <c r="S102" s="6" t="str">
        <f>IF($C102="","",IFERROR(INDEX(Lists!$B$5:$B$16,MATCH(J102,Lists!$A$5:$A$16,0)),0)+IFERROR(INDEX(Lists!$E$5:$E$8,MATCH(K102,Lists!$D$5:$D$8,0)),0)+IFERROR(INDEX(Lists!$H$5:$H$11,MATCH(M102,Lists!$G$5:$G$11,0)),0)+IFERROR(INDEX(Lists!$K$5:$K$9,MATCH(P102,Lists!$J$5:$J$9,0)),0))</f>
        <v/>
      </c>
      <c r="T102" s="6" t="str">
        <f t="shared" si="3"/>
        <v/>
      </c>
      <c r="U102" s="11"/>
      <c r="V102" s="7"/>
      <c r="W102" s="8"/>
      <c r="X102" s="11"/>
    </row>
    <row r="103" spans="1:24" x14ac:dyDescent="0.25">
      <c r="A103" s="6" t="str">
        <f t="shared" si="2"/>
        <v/>
      </c>
      <c r="B103" s="7"/>
      <c r="C103" s="8"/>
      <c r="D103" s="8"/>
      <c r="E103" s="8"/>
      <c r="F103" s="9"/>
      <c r="G103" s="8"/>
      <c r="H103" s="8"/>
      <c r="I103" s="8"/>
      <c r="J103" s="8"/>
      <c r="K103" s="8"/>
      <c r="L103" s="10"/>
      <c r="M103" s="8"/>
      <c r="N103" s="8"/>
      <c r="O103" s="11"/>
      <c r="P103" s="8"/>
      <c r="Q103" s="8"/>
      <c r="R103" s="8"/>
      <c r="S103" s="6" t="str">
        <f>IF($C103="","",IFERROR(INDEX(Lists!$B$5:$B$16,MATCH(J103,Lists!$A$5:$A$16,0)),0)+IFERROR(INDEX(Lists!$E$5:$E$8,MATCH(K103,Lists!$D$5:$D$8,0)),0)+IFERROR(INDEX(Lists!$H$5:$H$11,MATCH(M103,Lists!$G$5:$G$11,0)),0)+IFERROR(INDEX(Lists!$K$5:$K$9,MATCH(P103,Lists!$J$5:$J$9,0)),0))</f>
        <v/>
      </c>
      <c r="T103" s="6" t="str">
        <f t="shared" si="3"/>
        <v/>
      </c>
      <c r="U103" s="11"/>
      <c r="V103" s="7"/>
      <c r="W103" s="8"/>
      <c r="X103" s="11"/>
    </row>
    <row r="104" spans="1:24" x14ac:dyDescent="0.25">
      <c r="A104" s="6" t="str">
        <f t="shared" si="2"/>
        <v/>
      </c>
      <c r="B104" s="7"/>
      <c r="C104" s="8"/>
      <c r="D104" s="8"/>
      <c r="E104" s="8"/>
      <c r="F104" s="9"/>
      <c r="G104" s="8"/>
      <c r="H104" s="8"/>
      <c r="I104" s="8"/>
      <c r="J104" s="8"/>
      <c r="K104" s="8"/>
      <c r="L104" s="10"/>
      <c r="M104" s="8"/>
      <c r="N104" s="8"/>
      <c r="O104" s="11"/>
      <c r="P104" s="8"/>
      <c r="Q104" s="8"/>
      <c r="R104" s="8"/>
      <c r="S104" s="6" t="str">
        <f>IF($C104="","",IFERROR(INDEX(Lists!$B$5:$B$16,MATCH(J104,Lists!$A$5:$A$16,0)),0)+IFERROR(INDEX(Lists!$E$5:$E$8,MATCH(K104,Lists!$D$5:$D$8,0)),0)+IFERROR(INDEX(Lists!$H$5:$H$11,MATCH(M104,Lists!$G$5:$G$11,0)),0)+IFERROR(INDEX(Lists!$K$5:$K$9,MATCH(P104,Lists!$J$5:$J$9,0)),0))</f>
        <v/>
      </c>
      <c r="T104" s="6" t="str">
        <f t="shared" si="3"/>
        <v/>
      </c>
      <c r="U104" s="11"/>
      <c r="V104" s="7"/>
      <c r="W104" s="8"/>
      <c r="X104" s="11"/>
    </row>
    <row r="105" spans="1:24" x14ac:dyDescent="0.25">
      <c r="A105" s="6" t="str">
        <f t="shared" si="2"/>
        <v/>
      </c>
      <c r="B105" s="7"/>
      <c r="C105" s="8"/>
      <c r="D105" s="8"/>
      <c r="E105" s="8"/>
      <c r="F105" s="9"/>
      <c r="G105" s="8"/>
      <c r="H105" s="8"/>
      <c r="I105" s="8"/>
      <c r="J105" s="8"/>
      <c r="K105" s="8"/>
      <c r="L105" s="10"/>
      <c r="M105" s="8"/>
      <c r="N105" s="8"/>
      <c r="O105" s="11"/>
      <c r="P105" s="8"/>
      <c r="Q105" s="8"/>
      <c r="R105" s="8"/>
      <c r="S105" s="6" t="str">
        <f>IF($C105="","",IFERROR(INDEX(Lists!$B$5:$B$16,MATCH(J105,Lists!$A$5:$A$16,0)),0)+IFERROR(INDEX(Lists!$E$5:$E$8,MATCH(K105,Lists!$D$5:$D$8,0)),0)+IFERROR(INDEX(Lists!$H$5:$H$11,MATCH(M105,Lists!$G$5:$G$11,0)),0)+IFERROR(INDEX(Lists!$K$5:$K$9,MATCH(P105,Lists!$J$5:$J$9,0)),0))</f>
        <v/>
      </c>
      <c r="T105" s="6" t="str">
        <f t="shared" si="3"/>
        <v/>
      </c>
      <c r="U105" s="11"/>
      <c r="V105" s="7"/>
      <c r="W105" s="8"/>
      <c r="X105" s="11"/>
    </row>
    <row r="106" spans="1:24" x14ac:dyDescent="0.25">
      <c r="A106" s="6" t="str">
        <f t="shared" si="2"/>
        <v/>
      </c>
      <c r="B106" s="7"/>
      <c r="C106" s="8"/>
      <c r="D106" s="8"/>
      <c r="E106" s="8"/>
      <c r="F106" s="9"/>
      <c r="G106" s="8"/>
      <c r="H106" s="8"/>
      <c r="I106" s="8"/>
      <c r="J106" s="8"/>
      <c r="K106" s="8"/>
      <c r="L106" s="10"/>
      <c r="M106" s="8"/>
      <c r="N106" s="8"/>
      <c r="O106" s="11"/>
      <c r="P106" s="8"/>
      <c r="Q106" s="8"/>
      <c r="R106" s="8"/>
      <c r="S106" s="6" t="str">
        <f>IF($C106="","",IFERROR(INDEX(Lists!$B$5:$B$16,MATCH(J106,Lists!$A$5:$A$16,0)),0)+IFERROR(INDEX(Lists!$E$5:$E$8,MATCH(K106,Lists!$D$5:$D$8,0)),0)+IFERROR(INDEX(Lists!$H$5:$H$11,MATCH(M106,Lists!$G$5:$G$11,0)),0)+IFERROR(INDEX(Lists!$K$5:$K$9,MATCH(P106,Lists!$J$5:$J$9,0)),0))</f>
        <v/>
      </c>
      <c r="T106" s="6" t="str">
        <f t="shared" si="3"/>
        <v/>
      </c>
      <c r="U106" s="11"/>
      <c r="V106" s="7"/>
      <c r="W106" s="8"/>
      <c r="X106" s="11"/>
    </row>
    <row r="107" spans="1:24" x14ac:dyDescent="0.25">
      <c r="A107" s="6" t="str">
        <f t="shared" si="2"/>
        <v/>
      </c>
      <c r="B107" s="7"/>
      <c r="C107" s="8"/>
      <c r="D107" s="8"/>
      <c r="E107" s="8"/>
      <c r="F107" s="9"/>
      <c r="G107" s="8"/>
      <c r="H107" s="8"/>
      <c r="I107" s="8"/>
      <c r="J107" s="8"/>
      <c r="K107" s="8"/>
      <c r="L107" s="10"/>
      <c r="M107" s="8"/>
      <c r="N107" s="8"/>
      <c r="O107" s="11"/>
      <c r="P107" s="8"/>
      <c r="Q107" s="8"/>
      <c r="R107" s="8"/>
      <c r="S107" s="6" t="str">
        <f>IF($C107="","",IFERROR(INDEX(Lists!$B$5:$B$16,MATCH(J107,Lists!$A$5:$A$16,0)),0)+IFERROR(INDEX(Lists!$E$5:$E$8,MATCH(K107,Lists!$D$5:$D$8,0)),0)+IFERROR(INDEX(Lists!$H$5:$H$11,MATCH(M107,Lists!$G$5:$G$11,0)),0)+IFERROR(INDEX(Lists!$K$5:$K$9,MATCH(P107,Lists!$J$5:$J$9,0)),0))</f>
        <v/>
      </c>
      <c r="T107" s="6" t="str">
        <f t="shared" si="3"/>
        <v/>
      </c>
      <c r="U107" s="11"/>
      <c r="V107" s="7"/>
      <c r="W107" s="8"/>
      <c r="X107" s="11"/>
    </row>
    <row r="108" spans="1:24" x14ac:dyDescent="0.25">
      <c r="A108" s="6" t="str">
        <f t="shared" si="2"/>
        <v/>
      </c>
      <c r="B108" s="7"/>
      <c r="C108" s="8"/>
      <c r="D108" s="8"/>
      <c r="E108" s="8"/>
      <c r="F108" s="9"/>
      <c r="G108" s="8"/>
      <c r="H108" s="8"/>
      <c r="I108" s="8"/>
      <c r="J108" s="8"/>
      <c r="K108" s="8"/>
      <c r="L108" s="10"/>
      <c r="M108" s="8"/>
      <c r="N108" s="8"/>
      <c r="O108" s="11"/>
      <c r="P108" s="8"/>
      <c r="Q108" s="8"/>
      <c r="R108" s="8"/>
      <c r="S108" s="6" t="str">
        <f>IF($C108="","",IFERROR(INDEX(Lists!$B$5:$B$16,MATCH(J108,Lists!$A$5:$A$16,0)),0)+IFERROR(INDEX(Lists!$E$5:$E$8,MATCH(K108,Lists!$D$5:$D$8,0)),0)+IFERROR(INDEX(Lists!$H$5:$H$11,MATCH(M108,Lists!$G$5:$G$11,0)),0)+IFERROR(INDEX(Lists!$K$5:$K$9,MATCH(P108,Lists!$J$5:$J$9,0)),0))</f>
        <v/>
      </c>
      <c r="T108" s="6" t="str">
        <f t="shared" si="3"/>
        <v/>
      </c>
      <c r="U108" s="11"/>
      <c r="V108" s="7"/>
      <c r="W108" s="8"/>
      <c r="X108" s="11"/>
    </row>
    <row r="109" spans="1:24" x14ac:dyDescent="0.25">
      <c r="A109" s="6" t="str">
        <f t="shared" si="2"/>
        <v/>
      </c>
      <c r="B109" s="7"/>
      <c r="C109" s="8"/>
      <c r="D109" s="8"/>
      <c r="E109" s="8"/>
      <c r="F109" s="9"/>
      <c r="G109" s="8"/>
      <c r="H109" s="8"/>
      <c r="I109" s="8"/>
      <c r="J109" s="8"/>
      <c r="K109" s="8"/>
      <c r="L109" s="10"/>
      <c r="M109" s="8"/>
      <c r="N109" s="8"/>
      <c r="O109" s="11"/>
      <c r="P109" s="8"/>
      <c r="Q109" s="8"/>
      <c r="R109" s="8"/>
      <c r="S109" s="6" t="str">
        <f>IF($C109="","",IFERROR(INDEX(Lists!$B$5:$B$16,MATCH(J109,Lists!$A$5:$A$16,0)),0)+IFERROR(INDEX(Lists!$E$5:$E$8,MATCH(K109,Lists!$D$5:$D$8,0)),0)+IFERROR(INDEX(Lists!$H$5:$H$11,MATCH(M109,Lists!$G$5:$G$11,0)),0)+IFERROR(INDEX(Lists!$K$5:$K$9,MATCH(P109,Lists!$J$5:$J$9,0)),0))</f>
        <v/>
      </c>
      <c r="T109" s="6" t="str">
        <f t="shared" si="3"/>
        <v/>
      </c>
      <c r="U109" s="11"/>
      <c r="V109" s="7"/>
      <c r="W109" s="8"/>
      <c r="X109" s="11"/>
    </row>
    <row r="110" spans="1:24" x14ac:dyDescent="0.25">
      <c r="A110" s="6" t="str">
        <f t="shared" si="2"/>
        <v/>
      </c>
      <c r="B110" s="7"/>
      <c r="C110" s="8"/>
      <c r="D110" s="8"/>
      <c r="E110" s="8"/>
      <c r="F110" s="9"/>
      <c r="G110" s="8"/>
      <c r="H110" s="8"/>
      <c r="I110" s="8"/>
      <c r="J110" s="8"/>
      <c r="K110" s="8"/>
      <c r="L110" s="10"/>
      <c r="M110" s="8"/>
      <c r="N110" s="8"/>
      <c r="O110" s="11"/>
      <c r="P110" s="8"/>
      <c r="Q110" s="8"/>
      <c r="R110" s="8"/>
      <c r="S110" s="6" t="str">
        <f>IF($C110="","",IFERROR(INDEX(Lists!$B$5:$B$16,MATCH(J110,Lists!$A$5:$A$16,0)),0)+IFERROR(INDEX(Lists!$E$5:$E$8,MATCH(K110,Lists!$D$5:$D$8,0)),0)+IFERROR(INDEX(Lists!$H$5:$H$11,MATCH(M110,Lists!$G$5:$G$11,0)),0)+IFERROR(INDEX(Lists!$K$5:$K$9,MATCH(P110,Lists!$J$5:$J$9,0)),0))</f>
        <v/>
      </c>
      <c r="T110" s="6" t="str">
        <f t="shared" si="3"/>
        <v/>
      </c>
      <c r="U110" s="11"/>
      <c r="V110" s="7"/>
      <c r="W110" s="8"/>
      <c r="X110" s="11"/>
    </row>
    <row r="111" spans="1:24" x14ac:dyDescent="0.25">
      <c r="A111" s="6" t="str">
        <f t="shared" si="2"/>
        <v/>
      </c>
      <c r="B111" s="7"/>
      <c r="C111" s="8"/>
      <c r="D111" s="8"/>
      <c r="E111" s="8"/>
      <c r="F111" s="9"/>
      <c r="G111" s="8"/>
      <c r="H111" s="8"/>
      <c r="I111" s="8"/>
      <c r="J111" s="8"/>
      <c r="K111" s="8"/>
      <c r="L111" s="10"/>
      <c r="M111" s="8"/>
      <c r="N111" s="8"/>
      <c r="O111" s="11"/>
      <c r="P111" s="8"/>
      <c r="Q111" s="8"/>
      <c r="R111" s="8"/>
      <c r="S111" s="6" t="str">
        <f>IF($C111="","",IFERROR(INDEX(Lists!$B$5:$B$16,MATCH(J111,Lists!$A$5:$A$16,0)),0)+IFERROR(INDEX(Lists!$E$5:$E$8,MATCH(K111,Lists!$D$5:$D$8,0)),0)+IFERROR(INDEX(Lists!$H$5:$H$11,MATCH(M111,Lists!$G$5:$G$11,0)),0)+IFERROR(INDEX(Lists!$K$5:$K$9,MATCH(P111,Lists!$J$5:$J$9,0)),0))</f>
        <v/>
      </c>
      <c r="T111" s="6" t="str">
        <f t="shared" si="3"/>
        <v/>
      </c>
      <c r="U111" s="11"/>
      <c r="V111" s="7"/>
      <c r="W111" s="8"/>
      <c r="X111" s="11"/>
    </row>
    <row r="112" spans="1:24" x14ac:dyDescent="0.25">
      <c r="A112" s="6" t="str">
        <f t="shared" si="2"/>
        <v/>
      </c>
      <c r="B112" s="7"/>
      <c r="C112" s="8"/>
      <c r="D112" s="8"/>
      <c r="E112" s="8"/>
      <c r="F112" s="9"/>
      <c r="G112" s="8"/>
      <c r="H112" s="8"/>
      <c r="I112" s="8"/>
      <c r="J112" s="8"/>
      <c r="K112" s="8"/>
      <c r="L112" s="10"/>
      <c r="M112" s="8"/>
      <c r="N112" s="8"/>
      <c r="O112" s="11"/>
      <c r="P112" s="8"/>
      <c r="Q112" s="8"/>
      <c r="R112" s="8"/>
      <c r="S112" s="6" t="str">
        <f>IF($C112="","",IFERROR(INDEX(Lists!$B$5:$B$16,MATCH(J112,Lists!$A$5:$A$16,0)),0)+IFERROR(INDEX(Lists!$E$5:$E$8,MATCH(K112,Lists!$D$5:$D$8,0)),0)+IFERROR(INDEX(Lists!$H$5:$H$11,MATCH(M112,Lists!$G$5:$G$11,0)),0)+IFERROR(INDEX(Lists!$K$5:$K$9,MATCH(P112,Lists!$J$5:$J$9,0)),0))</f>
        <v/>
      </c>
      <c r="T112" s="6" t="str">
        <f t="shared" si="3"/>
        <v/>
      </c>
      <c r="U112" s="11"/>
      <c r="V112" s="7"/>
      <c r="W112" s="8"/>
      <c r="X112" s="11"/>
    </row>
    <row r="113" spans="1:24" x14ac:dyDescent="0.25">
      <c r="A113" s="6" t="str">
        <f t="shared" si="2"/>
        <v/>
      </c>
      <c r="B113" s="7"/>
      <c r="C113" s="8"/>
      <c r="D113" s="8"/>
      <c r="E113" s="8"/>
      <c r="F113" s="9"/>
      <c r="G113" s="8"/>
      <c r="H113" s="8"/>
      <c r="I113" s="8"/>
      <c r="J113" s="8"/>
      <c r="K113" s="8"/>
      <c r="L113" s="10"/>
      <c r="M113" s="8"/>
      <c r="N113" s="8"/>
      <c r="O113" s="11"/>
      <c r="P113" s="8"/>
      <c r="Q113" s="8"/>
      <c r="R113" s="8"/>
      <c r="S113" s="6" t="str">
        <f>IF($C113="","",IFERROR(INDEX(Lists!$B$5:$B$16,MATCH(J113,Lists!$A$5:$A$16,0)),0)+IFERROR(INDEX(Lists!$E$5:$E$8,MATCH(K113,Lists!$D$5:$D$8,0)),0)+IFERROR(INDEX(Lists!$H$5:$H$11,MATCH(M113,Lists!$G$5:$G$11,0)),0)+IFERROR(INDEX(Lists!$K$5:$K$9,MATCH(P113,Lists!$J$5:$J$9,0)),0))</f>
        <v/>
      </c>
      <c r="T113" s="6" t="str">
        <f t="shared" si="3"/>
        <v/>
      </c>
      <c r="U113" s="11"/>
      <c r="V113" s="7"/>
      <c r="W113" s="8"/>
      <c r="X113" s="11"/>
    </row>
    <row r="114" spans="1:24" x14ac:dyDescent="0.25">
      <c r="A114" s="6" t="str">
        <f t="shared" si="2"/>
        <v/>
      </c>
      <c r="B114" s="7"/>
      <c r="C114" s="8"/>
      <c r="D114" s="8"/>
      <c r="E114" s="8"/>
      <c r="F114" s="9"/>
      <c r="G114" s="8"/>
      <c r="H114" s="8"/>
      <c r="I114" s="8"/>
      <c r="J114" s="8"/>
      <c r="K114" s="8"/>
      <c r="L114" s="10"/>
      <c r="M114" s="8"/>
      <c r="N114" s="8"/>
      <c r="O114" s="11"/>
      <c r="P114" s="8"/>
      <c r="Q114" s="8"/>
      <c r="R114" s="8"/>
      <c r="S114" s="6" t="str">
        <f>IF($C114="","",IFERROR(INDEX(Lists!$B$5:$B$16,MATCH(J114,Lists!$A$5:$A$16,0)),0)+IFERROR(INDEX(Lists!$E$5:$E$8,MATCH(K114,Lists!$D$5:$D$8,0)),0)+IFERROR(INDEX(Lists!$H$5:$H$11,MATCH(M114,Lists!$G$5:$G$11,0)),0)+IFERROR(INDEX(Lists!$K$5:$K$9,MATCH(P114,Lists!$J$5:$J$9,0)),0))</f>
        <v/>
      </c>
      <c r="T114" s="6" t="str">
        <f t="shared" si="3"/>
        <v/>
      </c>
      <c r="U114" s="11"/>
      <c r="V114" s="7"/>
      <c r="W114" s="8"/>
      <c r="X114" s="11"/>
    </row>
    <row r="115" spans="1:24" x14ac:dyDescent="0.25">
      <c r="A115" s="6" t="str">
        <f t="shared" si="2"/>
        <v/>
      </c>
      <c r="B115" s="7"/>
      <c r="C115" s="8"/>
      <c r="D115" s="8"/>
      <c r="E115" s="8"/>
      <c r="F115" s="9"/>
      <c r="G115" s="8"/>
      <c r="H115" s="8"/>
      <c r="I115" s="8"/>
      <c r="J115" s="8"/>
      <c r="K115" s="8"/>
      <c r="L115" s="10"/>
      <c r="M115" s="8"/>
      <c r="N115" s="8"/>
      <c r="O115" s="11"/>
      <c r="P115" s="8"/>
      <c r="Q115" s="8"/>
      <c r="R115" s="8"/>
      <c r="S115" s="6" t="str">
        <f>IF($C115="","",IFERROR(INDEX(Lists!$B$5:$B$16,MATCH(J115,Lists!$A$5:$A$16,0)),0)+IFERROR(INDEX(Lists!$E$5:$E$8,MATCH(K115,Lists!$D$5:$D$8,0)),0)+IFERROR(INDEX(Lists!$H$5:$H$11,MATCH(M115,Lists!$G$5:$G$11,0)),0)+IFERROR(INDEX(Lists!$K$5:$K$9,MATCH(P115,Lists!$J$5:$J$9,0)),0))</f>
        <v/>
      </c>
      <c r="T115" s="6" t="str">
        <f t="shared" si="3"/>
        <v/>
      </c>
      <c r="U115" s="11"/>
      <c r="V115" s="7"/>
      <c r="W115" s="8"/>
      <c r="X115" s="11"/>
    </row>
    <row r="116" spans="1:24" x14ac:dyDescent="0.25">
      <c r="A116" s="6" t="str">
        <f t="shared" si="2"/>
        <v/>
      </c>
      <c r="B116" s="7"/>
      <c r="C116" s="8"/>
      <c r="D116" s="8"/>
      <c r="E116" s="8"/>
      <c r="F116" s="9"/>
      <c r="G116" s="8"/>
      <c r="H116" s="8"/>
      <c r="I116" s="8"/>
      <c r="J116" s="8"/>
      <c r="K116" s="8"/>
      <c r="L116" s="10"/>
      <c r="M116" s="8"/>
      <c r="N116" s="8"/>
      <c r="O116" s="11"/>
      <c r="P116" s="8"/>
      <c r="Q116" s="8"/>
      <c r="R116" s="8"/>
      <c r="S116" s="6" t="str">
        <f>IF($C116="","",IFERROR(INDEX(Lists!$B$5:$B$16,MATCH(J116,Lists!$A$5:$A$16,0)),0)+IFERROR(INDEX(Lists!$E$5:$E$8,MATCH(K116,Lists!$D$5:$D$8,0)),0)+IFERROR(INDEX(Lists!$H$5:$H$11,MATCH(M116,Lists!$G$5:$G$11,0)),0)+IFERROR(INDEX(Lists!$K$5:$K$9,MATCH(P116,Lists!$J$5:$J$9,0)),0))</f>
        <v/>
      </c>
      <c r="T116" s="6" t="str">
        <f t="shared" si="3"/>
        <v/>
      </c>
      <c r="U116" s="11"/>
      <c r="V116" s="7"/>
      <c r="W116" s="8"/>
      <c r="X116" s="11"/>
    </row>
    <row r="117" spans="1:24" x14ac:dyDescent="0.25">
      <c r="A117" s="6" t="str">
        <f t="shared" si="2"/>
        <v/>
      </c>
      <c r="B117" s="7"/>
      <c r="C117" s="8"/>
      <c r="D117" s="8"/>
      <c r="E117" s="8"/>
      <c r="F117" s="9"/>
      <c r="G117" s="8"/>
      <c r="H117" s="8"/>
      <c r="I117" s="8"/>
      <c r="J117" s="8"/>
      <c r="K117" s="8"/>
      <c r="L117" s="10"/>
      <c r="M117" s="8"/>
      <c r="N117" s="8"/>
      <c r="O117" s="11"/>
      <c r="P117" s="8"/>
      <c r="Q117" s="8"/>
      <c r="R117" s="8"/>
      <c r="S117" s="6" t="str">
        <f>IF($C117="","",IFERROR(INDEX(Lists!$B$5:$B$16,MATCH(J117,Lists!$A$5:$A$16,0)),0)+IFERROR(INDEX(Lists!$E$5:$E$8,MATCH(K117,Lists!$D$5:$D$8,0)),0)+IFERROR(INDEX(Lists!$H$5:$H$11,MATCH(M117,Lists!$G$5:$G$11,0)),0)+IFERROR(INDEX(Lists!$K$5:$K$9,MATCH(P117,Lists!$J$5:$J$9,0)),0))</f>
        <v/>
      </c>
      <c r="T117" s="6" t="str">
        <f t="shared" si="3"/>
        <v/>
      </c>
      <c r="U117" s="11"/>
      <c r="V117" s="7"/>
      <c r="W117" s="8"/>
      <c r="X117" s="11"/>
    </row>
    <row r="118" spans="1:24" x14ac:dyDescent="0.25">
      <c r="A118" s="6" t="str">
        <f t="shared" si="2"/>
        <v/>
      </c>
      <c r="B118" s="7"/>
      <c r="C118" s="8"/>
      <c r="D118" s="8"/>
      <c r="E118" s="8"/>
      <c r="F118" s="9"/>
      <c r="G118" s="8"/>
      <c r="H118" s="8"/>
      <c r="I118" s="8"/>
      <c r="J118" s="8"/>
      <c r="K118" s="8"/>
      <c r="L118" s="10"/>
      <c r="M118" s="8"/>
      <c r="N118" s="8"/>
      <c r="O118" s="11"/>
      <c r="P118" s="8"/>
      <c r="Q118" s="8"/>
      <c r="R118" s="8"/>
      <c r="S118" s="6" t="str">
        <f>IF($C118="","",IFERROR(INDEX(Lists!$B$5:$B$16,MATCH(J118,Lists!$A$5:$A$16,0)),0)+IFERROR(INDEX(Lists!$E$5:$E$8,MATCH(K118,Lists!$D$5:$D$8,0)),0)+IFERROR(INDEX(Lists!$H$5:$H$11,MATCH(M118,Lists!$G$5:$G$11,0)),0)+IFERROR(INDEX(Lists!$K$5:$K$9,MATCH(P118,Lists!$J$5:$J$9,0)),0))</f>
        <v/>
      </c>
      <c r="T118" s="6" t="str">
        <f t="shared" si="3"/>
        <v/>
      </c>
      <c r="U118" s="11"/>
      <c r="V118" s="7"/>
      <c r="W118" s="8"/>
      <c r="X118" s="11"/>
    </row>
    <row r="119" spans="1:24" x14ac:dyDescent="0.25">
      <c r="A119" s="6" t="str">
        <f t="shared" si="2"/>
        <v/>
      </c>
      <c r="B119" s="7"/>
      <c r="C119" s="8"/>
      <c r="D119" s="8"/>
      <c r="E119" s="8"/>
      <c r="F119" s="9"/>
      <c r="G119" s="8"/>
      <c r="H119" s="8"/>
      <c r="I119" s="8"/>
      <c r="J119" s="8"/>
      <c r="K119" s="8"/>
      <c r="L119" s="10"/>
      <c r="M119" s="8"/>
      <c r="N119" s="8"/>
      <c r="O119" s="11"/>
      <c r="P119" s="8"/>
      <c r="Q119" s="8"/>
      <c r="R119" s="8"/>
      <c r="S119" s="6" t="str">
        <f>IF($C119="","",IFERROR(INDEX(Lists!$B$5:$B$16,MATCH(J119,Lists!$A$5:$A$16,0)),0)+IFERROR(INDEX(Lists!$E$5:$E$8,MATCH(K119,Lists!$D$5:$D$8,0)),0)+IFERROR(INDEX(Lists!$H$5:$H$11,MATCH(M119,Lists!$G$5:$G$11,0)),0)+IFERROR(INDEX(Lists!$K$5:$K$9,MATCH(P119,Lists!$J$5:$J$9,0)),0))</f>
        <v/>
      </c>
      <c r="T119" s="6" t="str">
        <f t="shared" si="3"/>
        <v/>
      </c>
      <c r="U119" s="11"/>
      <c r="V119" s="7"/>
      <c r="W119" s="8"/>
      <c r="X119" s="11"/>
    </row>
    <row r="120" spans="1:24" x14ac:dyDescent="0.25">
      <c r="A120" s="6" t="str">
        <f t="shared" si="2"/>
        <v/>
      </c>
      <c r="B120" s="7"/>
      <c r="C120" s="8"/>
      <c r="D120" s="8"/>
      <c r="E120" s="8"/>
      <c r="F120" s="9"/>
      <c r="G120" s="8"/>
      <c r="H120" s="8"/>
      <c r="I120" s="8"/>
      <c r="J120" s="8"/>
      <c r="K120" s="8"/>
      <c r="L120" s="10"/>
      <c r="M120" s="8"/>
      <c r="N120" s="8"/>
      <c r="O120" s="11"/>
      <c r="P120" s="8"/>
      <c r="Q120" s="8"/>
      <c r="R120" s="8"/>
      <c r="S120" s="6" t="str">
        <f>IF($C120="","",IFERROR(INDEX(Lists!$B$5:$B$16,MATCH(J120,Lists!$A$5:$A$16,0)),0)+IFERROR(INDEX(Lists!$E$5:$E$8,MATCH(K120,Lists!$D$5:$D$8,0)),0)+IFERROR(INDEX(Lists!$H$5:$H$11,MATCH(M120,Lists!$G$5:$G$11,0)),0)+IFERROR(INDEX(Lists!$K$5:$K$9,MATCH(P120,Lists!$J$5:$J$9,0)),0))</f>
        <v/>
      </c>
      <c r="T120" s="6" t="str">
        <f t="shared" si="3"/>
        <v/>
      </c>
      <c r="U120" s="11"/>
      <c r="V120" s="7"/>
      <c r="W120" s="8"/>
      <c r="X120" s="11"/>
    </row>
    <row r="121" spans="1:24" x14ac:dyDescent="0.25">
      <c r="A121" s="6" t="str">
        <f t="shared" si="2"/>
        <v/>
      </c>
      <c r="B121" s="7"/>
      <c r="C121" s="8"/>
      <c r="D121" s="8"/>
      <c r="E121" s="8"/>
      <c r="F121" s="9"/>
      <c r="G121" s="8"/>
      <c r="H121" s="8"/>
      <c r="I121" s="8"/>
      <c r="J121" s="8"/>
      <c r="K121" s="8"/>
      <c r="L121" s="10"/>
      <c r="M121" s="8"/>
      <c r="N121" s="8"/>
      <c r="O121" s="11"/>
      <c r="P121" s="8"/>
      <c r="Q121" s="8"/>
      <c r="R121" s="8"/>
      <c r="S121" s="6" t="str">
        <f>IF($C121="","",IFERROR(INDEX(Lists!$B$5:$B$16,MATCH(J121,Lists!$A$5:$A$16,0)),0)+IFERROR(INDEX(Lists!$E$5:$E$8,MATCH(K121,Lists!$D$5:$D$8,0)),0)+IFERROR(INDEX(Lists!$H$5:$H$11,MATCH(M121,Lists!$G$5:$G$11,0)),0)+IFERROR(INDEX(Lists!$K$5:$K$9,MATCH(P121,Lists!$J$5:$J$9,0)),0))</f>
        <v/>
      </c>
      <c r="T121" s="6" t="str">
        <f t="shared" si="3"/>
        <v/>
      </c>
      <c r="U121" s="11"/>
      <c r="V121" s="7"/>
      <c r="W121" s="8"/>
      <c r="X121" s="11"/>
    </row>
    <row r="122" spans="1:24" x14ac:dyDescent="0.25">
      <c r="A122" s="6" t="str">
        <f t="shared" si="2"/>
        <v/>
      </c>
      <c r="B122" s="7"/>
      <c r="C122" s="8"/>
      <c r="D122" s="8"/>
      <c r="E122" s="8"/>
      <c r="F122" s="9"/>
      <c r="G122" s="8"/>
      <c r="H122" s="8"/>
      <c r="I122" s="8"/>
      <c r="J122" s="8"/>
      <c r="K122" s="8"/>
      <c r="L122" s="10"/>
      <c r="M122" s="8"/>
      <c r="N122" s="8"/>
      <c r="O122" s="11"/>
      <c r="P122" s="8"/>
      <c r="Q122" s="8"/>
      <c r="R122" s="8"/>
      <c r="S122" s="6" t="str">
        <f>IF($C122="","",IFERROR(INDEX(Lists!$B$5:$B$16,MATCH(J122,Lists!$A$5:$A$16,0)),0)+IFERROR(INDEX(Lists!$E$5:$E$8,MATCH(K122,Lists!$D$5:$D$8,0)),0)+IFERROR(INDEX(Lists!$H$5:$H$11,MATCH(M122,Lists!$G$5:$G$11,0)),0)+IFERROR(INDEX(Lists!$K$5:$K$9,MATCH(P122,Lists!$J$5:$J$9,0)),0))</f>
        <v/>
      </c>
      <c r="T122" s="6" t="str">
        <f t="shared" si="3"/>
        <v/>
      </c>
      <c r="U122" s="11"/>
      <c r="V122" s="7"/>
      <c r="W122" s="8"/>
      <c r="X122" s="11"/>
    </row>
    <row r="123" spans="1:24" x14ac:dyDescent="0.25">
      <c r="A123" s="6" t="str">
        <f t="shared" si="2"/>
        <v/>
      </c>
      <c r="B123" s="7"/>
      <c r="C123" s="8"/>
      <c r="D123" s="8"/>
      <c r="E123" s="8"/>
      <c r="F123" s="9"/>
      <c r="G123" s="8"/>
      <c r="H123" s="8"/>
      <c r="I123" s="8"/>
      <c r="J123" s="8"/>
      <c r="K123" s="8"/>
      <c r="L123" s="10"/>
      <c r="M123" s="8"/>
      <c r="N123" s="8"/>
      <c r="O123" s="11"/>
      <c r="P123" s="8"/>
      <c r="Q123" s="8"/>
      <c r="R123" s="8"/>
      <c r="S123" s="6" t="str">
        <f>IF($C123="","",IFERROR(INDEX(Lists!$B$5:$B$16,MATCH(J123,Lists!$A$5:$A$16,0)),0)+IFERROR(INDEX(Lists!$E$5:$E$8,MATCH(K123,Lists!$D$5:$D$8,0)),0)+IFERROR(INDEX(Lists!$H$5:$H$11,MATCH(M123,Lists!$G$5:$G$11,0)),0)+IFERROR(INDEX(Lists!$K$5:$K$9,MATCH(P123,Lists!$J$5:$J$9,0)),0))</f>
        <v/>
      </c>
      <c r="T123" s="6" t="str">
        <f t="shared" si="3"/>
        <v/>
      </c>
      <c r="U123" s="11"/>
      <c r="V123" s="7"/>
      <c r="W123" s="8"/>
      <c r="X123" s="11"/>
    </row>
    <row r="124" spans="1:24" x14ac:dyDescent="0.25">
      <c r="A124" s="6" t="str">
        <f t="shared" si="2"/>
        <v/>
      </c>
      <c r="B124" s="7"/>
      <c r="C124" s="8"/>
      <c r="D124" s="8"/>
      <c r="E124" s="8"/>
      <c r="F124" s="9"/>
      <c r="G124" s="8"/>
      <c r="H124" s="8"/>
      <c r="I124" s="8"/>
      <c r="J124" s="8"/>
      <c r="K124" s="8"/>
      <c r="L124" s="10"/>
      <c r="M124" s="8"/>
      <c r="N124" s="8"/>
      <c r="O124" s="11"/>
      <c r="P124" s="8"/>
      <c r="Q124" s="8"/>
      <c r="R124" s="8"/>
      <c r="S124" s="6" t="str">
        <f>IF($C124="","",IFERROR(INDEX(Lists!$B$5:$B$16,MATCH(J124,Lists!$A$5:$A$16,0)),0)+IFERROR(INDEX(Lists!$E$5:$E$8,MATCH(K124,Lists!$D$5:$D$8,0)),0)+IFERROR(INDEX(Lists!$H$5:$H$11,MATCH(M124,Lists!$G$5:$G$11,0)),0)+IFERROR(INDEX(Lists!$K$5:$K$9,MATCH(P124,Lists!$J$5:$J$9,0)),0))</f>
        <v/>
      </c>
      <c r="T124" s="6" t="str">
        <f t="shared" si="3"/>
        <v/>
      </c>
      <c r="U124" s="11"/>
      <c r="V124" s="7"/>
      <c r="W124" s="8"/>
      <c r="X124" s="11"/>
    </row>
    <row r="125" spans="1:24" x14ac:dyDescent="0.25">
      <c r="A125" s="6" t="str">
        <f t="shared" si="2"/>
        <v/>
      </c>
      <c r="B125" s="7"/>
      <c r="C125" s="8"/>
      <c r="D125" s="8"/>
      <c r="E125" s="8"/>
      <c r="F125" s="9"/>
      <c r="G125" s="8"/>
      <c r="H125" s="8"/>
      <c r="I125" s="8"/>
      <c r="J125" s="8"/>
      <c r="K125" s="8"/>
      <c r="L125" s="10"/>
      <c r="M125" s="8"/>
      <c r="N125" s="8"/>
      <c r="O125" s="11"/>
      <c r="P125" s="8"/>
      <c r="Q125" s="8"/>
      <c r="R125" s="8"/>
      <c r="S125" s="6" t="str">
        <f>IF($C125="","",IFERROR(INDEX(Lists!$B$5:$B$16,MATCH(J125,Lists!$A$5:$A$16,0)),0)+IFERROR(INDEX(Lists!$E$5:$E$8,MATCH(K125,Lists!$D$5:$D$8,0)),0)+IFERROR(INDEX(Lists!$H$5:$H$11,MATCH(M125,Lists!$G$5:$G$11,0)),0)+IFERROR(INDEX(Lists!$K$5:$K$9,MATCH(P125,Lists!$J$5:$J$9,0)),0))</f>
        <v/>
      </c>
      <c r="T125" s="6" t="str">
        <f t="shared" si="3"/>
        <v/>
      </c>
      <c r="U125" s="11"/>
      <c r="V125" s="7"/>
      <c r="W125" s="8"/>
      <c r="X125" s="11"/>
    </row>
    <row r="126" spans="1:24" x14ac:dyDescent="0.25">
      <c r="A126" s="6" t="str">
        <f t="shared" si="2"/>
        <v/>
      </c>
      <c r="B126" s="7"/>
      <c r="C126" s="8"/>
      <c r="D126" s="8"/>
      <c r="E126" s="8"/>
      <c r="F126" s="9"/>
      <c r="G126" s="8"/>
      <c r="H126" s="8"/>
      <c r="I126" s="8"/>
      <c r="J126" s="8"/>
      <c r="K126" s="8"/>
      <c r="L126" s="10"/>
      <c r="M126" s="8"/>
      <c r="N126" s="8"/>
      <c r="O126" s="11"/>
      <c r="P126" s="8"/>
      <c r="Q126" s="8"/>
      <c r="R126" s="8"/>
      <c r="S126" s="6" t="str">
        <f>IF($C126="","",IFERROR(INDEX(Lists!$B$5:$B$16,MATCH(J126,Lists!$A$5:$A$16,0)),0)+IFERROR(INDEX(Lists!$E$5:$E$8,MATCH(K126,Lists!$D$5:$D$8,0)),0)+IFERROR(INDEX(Lists!$H$5:$H$11,MATCH(M126,Lists!$G$5:$G$11,0)),0)+IFERROR(INDEX(Lists!$K$5:$K$9,MATCH(P126,Lists!$J$5:$J$9,0)),0))</f>
        <v/>
      </c>
      <c r="T126" s="6" t="str">
        <f t="shared" si="3"/>
        <v/>
      </c>
      <c r="U126" s="11"/>
      <c r="V126" s="7"/>
      <c r="W126" s="8"/>
      <c r="X126" s="11"/>
    </row>
    <row r="127" spans="1:24" x14ac:dyDescent="0.25">
      <c r="A127" s="6" t="str">
        <f t="shared" si="2"/>
        <v/>
      </c>
      <c r="B127" s="7"/>
      <c r="C127" s="8"/>
      <c r="D127" s="8"/>
      <c r="E127" s="8"/>
      <c r="F127" s="9"/>
      <c r="G127" s="8"/>
      <c r="H127" s="8"/>
      <c r="I127" s="8"/>
      <c r="J127" s="8"/>
      <c r="K127" s="8"/>
      <c r="L127" s="10"/>
      <c r="M127" s="8"/>
      <c r="N127" s="8"/>
      <c r="O127" s="11"/>
      <c r="P127" s="8"/>
      <c r="Q127" s="8"/>
      <c r="R127" s="8"/>
      <c r="S127" s="6" t="str">
        <f>IF($C127="","",IFERROR(INDEX(Lists!$B$5:$B$16,MATCH(J127,Lists!$A$5:$A$16,0)),0)+IFERROR(INDEX(Lists!$E$5:$E$8,MATCH(K127,Lists!$D$5:$D$8,0)),0)+IFERROR(INDEX(Lists!$H$5:$H$11,MATCH(M127,Lists!$G$5:$G$11,0)),0)+IFERROR(INDEX(Lists!$K$5:$K$9,MATCH(P127,Lists!$J$5:$J$9,0)),0))</f>
        <v/>
      </c>
      <c r="T127" s="6" t="str">
        <f t="shared" si="3"/>
        <v/>
      </c>
      <c r="U127" s="11"/>
      <c r="V127" s="7"/>
      <c r="W127" s="8"/>
      <c r="X127" s="11"/>
    </row>
    <row r="128" spans="1:24" x14ac:dyDescent="0.25">
      <c r="A128" s="6" t="str">
        <f t="shared" si="2"/>
        <v/>
      </c>
      <c r="B128" s="7"/>
      <c r="C128" s="8"/>
      <c r="D128" s="8"/>
      <c r="E128" s="8"/>
      <c r="F128" s="9"/>
      <c r="G128" s="8"/>
      <c r="H128" s="8"/>
      <c r="I128" s="8"/>
      <c r="J128" s="8"/>
      <c r="K128" s="8"/>
      <c r="L128" s="10"/>
      <c r="M128" s="8"/>
      <c r="N128" s="8"/>
      <c r="O128" s="11"/>
      <c r="P128" s="8"/>
      <c r="Q128" s="8"/>
      <c r="R128" s="8"/>
      <c r="S128" s="6" t="str">
        <f>IF($C128="","",IFERROR(INDEX(Lists!$B$5:$B$16,MATCH(J128,Lists!$A$5:$A$16,0)),0)+IFERROR(INDEX(Lists!$E$5:$E$8,MATCH(K128,Lists!$D$5:$D$8,0)),0)+IFERROR(INDEX(Lists!$H$5:$H$11,MATCH(M128,Lists!$G$5:$G$11,0)),0)+IFERROR(INDEX(Lists!$K$5:$K$9,MATCH(P128,Lists!$J$5:$J$9,0)),0))</f>
        <v/>
      </c>
      <c r="T128" s="6" t="str">
        <f t="shared" si="3"/>
        <v/>
      </c>
      <c r="U128" s="11"/>
      <c r="V128" s="7"/>
      <c r="W128" s="8"/>
      <c r="X128" s="11"/>
    </row>
    <row r="129" spans="1:24" x14ac:dyDescent="0.25">
      <c r="A129" s="6" t="str">
        <f t="shared" si="2"/>
        <v/>
      </c>
      <c r="B129" s="7"/>
      <c r="C129" s="8"/>
      <c r="D129" s="8"/>
      <c r="E129" s="8"/>
      <c r="F129" s="9"/>
      <c r="G129" s="8"/>
      <c r="H129" s="8"/>
      <c r="I129" s="8"/>
      <c r="J129" s="8"/>
      <c r="K129" s="8"/>
      <c r="L129" s="10"/>
      <c r="M129" s="8"/>
      <c r="N129" s="8"/>
      <c r="O129" s="11"/>
      <c r="P129" s="8"/>
      <c r="Q129" s="8"/>
      <c r="R129" s="8"/>
      <c r="S129" s="6" t="str">
        <f>IF($C129="","",IFERROR(INDEX(Lists!$B$5:$B$16,MATCH(J129,Lists!$A$5:$A$16,0)),0)+IFERROR(INDEX(Lists!$E$5:$E$8,MATCH(K129,Lists!$D$5:$D$8,0)),0)+IFERROR(INDEX(Lists!$H$5:$H$11,MATCH(M129,Lists!$G$5:$G$11,0)),0)+IFERROR(INDEX(Lists!$K$5:$K$9,MATCH(P129,Lists!$J$5:$J$9,0)),0))</f>
        <v/>
      </c>
      <c r="T129" s="6" t="str">
        <f t="shared" si="3"/>
        <v/>
      </c>
      <c r="U129" s="11"/>
      <c r="V129" s="7"/>
      <c r="W129" s="8"/>
      <c r="X129" s="11"/>
    </row>
    <row r="130" spans="1:24" x14ac:dyDescent="0.25">
      <c r="A130" s="6" t="str">
        <f t="shared" si="2"/>
        <v/>
      </c>
      <c r="B130" s="7"/>
      <c r="C130" s="8"/>
      <c r="D130" s="8"/>
      <c r="E130" s="8"/>
      <c r="F130" s="9"/>
      <c r="G130" s="8"/>
      <c r="H130" s="8"/>
      <c r="I130" s="8"/>
      <c r="J130" s="8"/>
      <c r="K130" s="8"/>
      <c r="L130" s="10"/>
      <c r="M130" s="8"/>
      <c r="N130" s="8"/>
      <c r="O130" s="11"/>
      <c r="P130" s="8"/>
      <c r="Q130" s="8"/>
      <c r="R130" s="8"/>
      <c r="S130" s="6" t="str">
        <f>IF($C130="","",IFERROR(INDEX(Lists!$B$5:$B$16,MATCH(J130,Lists!$A$5:$A$16,0)),0)+IFERROR(INDEX(Lists!$E$5:$E$8,MATCH(K130,Lists!$D$5:$D$8,0)),0)+IFERROR(INDEX(Lists!$H$5:$H$11,MATCH(M130,Lists!$G$5:$G$11,0)),0)+IFERROR(INDEX(Lists!$K$5:$K$9,MATCH(P130,Lists!$J$5:$J$9,0)),0))</f>
        <v/>
      </c>
      <c r="T130" s="6" t="str">
        <f t="shared" si="3"/>
        <v/>
      </c>
      <c r="U130" s="11"/>
      <c r="V130" s="7"/>
      <c r="W130" s="8"/>
      <c r="X130" s="11"/>
    </row>
    <row r="131" spans="1:24" x14ac:dyDescent="0.25">
      <c r="A131" s="6" t="str">
        <f t="shared" si="2"/>
        <v/>
      </c>
      <c r="B131" s="7"/>
      <c r="C131" s="8"/>
      <c r="D131" s="8"/>
      <c r="E131" s="8"/>
      <c r="F131" s="9"/>
      <c r="G131" s="8"/>
      <c r="H131" s="8"/>
      <c r="I131" s="8"/>
      <c r="J131" s="8"/>
      <c r="K131" s="8"/>
      <c r="L131" s="10"/>
      <c r="M131" s="8"/>
      <c r="N131" s="8"/>
      <c r="O131" s="11"/>
      <c r="P131" s="8"/>
      <c r="Q131" s="8"/>
      <c r="R131" s="8"/>
      <c r="S131" s="6" t="str">
        <f>IF($C131="","",IFERROR(INDEX(Lists!$B$5:$B$16,MATCH(J131,Lists!$A$5:$A$16,0)),0)+IFERROR(INDEX(Lists!$E$5:$E$8,MATCH(K131,Lists!$D$5:$D$8,0)),0)+IFERROR(INDEX(Lists!$H$5:$H$11,MATCH(M131,Lists!$G$5:$G$11,0)),0)+IFERROR(INDEX(Lists!$K$5:$K$9,MATCH(P131,Lists!$J$5:$J$9,0)),0))</f>
        <v/>
      </c>
      <c r="T131" s="6" t="str">
        <f t="shared" si="3"/>
        <v/>
      </c>
      <c r="U131" s="11"/>
      <c r="V131" s="7"/>
      <c r="W131" s="8"/>
      <c r="X131" s="11"/>
    </row>
    <row r="132" spans="1:24" x14ac:dyDescent="0.25">
      <c r="A132" s="6" t="str">
        <f t="shared" si="2"/>
        <v/>
      </c>
      <c r="B132" s="7"/>
      <c r="C132" s="8"/>
      <c r="D132" s="8"/>
      <c r="E132" s="8"/>
      <c r="F132" s="9"/>
      <c r="G132" s="8"/>
      <c r="H132" s="8"/>
      <c r="I132" s="8"/>
      <c r="J132" s="8"/>
      <c r="K132" s="8"/>
      <c r="L132" s="10"/>
      <c r="M132" s="8"/>
      <c r="N132" s="8"/>
      <c r="O132" s="11"/>
      <c r="P132" s="8"/>
      <c r="Q132" s="8"/>
      <c r="R132" s="8"/>
      <c r="S132" s="6" t="str">
        <f>IF($C132="","",IFERROR(INDEX(Lists!$B$5:$B$16,MATCH(J132,Lists!$A$5:$A$16,0)),0)+IFERROR(INDEX(Lists!$E$5:$E$8,MATCH(K132,Lists!$D$5:$D$8,0)),0)+IFERROR(INDEX(Lists!$H$5:$H$11,MATCH(M132,Lists!$G$5:$G$11,0)),0)+IFERROR(INDEX(Lists!$K$5:$K$9,MATCH(P132,Lists!$J$5:$J$9,0)),0))</f>
        <v/>
      </c>
      <c r="T132" s="6" t="str">
        <f t="shared" si="3"/>
        <v/>
      </c>
      <c r="U132" s="11"/>
      <c r="V132" s="7"/>
      <c r="W132" s="8"/>
      <c r="X132" s="11"/>
    </row>
    <row r="133" spans="1:24" x14ac:dyDescent="0.25">
      <c r="A133" s="6" t="str">
        <f t="shared" ref="A133:A196" si="4">IF($C133="","","L-"&amp;TEXT(ROW()-4,"000"))</f>
        <v/>
      </c>
      <c r="B133" s="7"/>
      <c r="C133" s="8"/>
      <c r="D133" s="8"/>
      <c r="E133" s="8"/>
      <c r="F133" s="9"/>
      <c r="G133" s="8"/>
      <c r="H133" s="8"/>
      <c r="I133" s="8"/>
      <c r="J133" s="8"/>
      <c r="K133" s="8"/>
      <c r="L133" s="10"/>
      <c r="M133" s="8"/>
      <c r="N133" s="8"/>
      <c r="O133" s="11"/>
      <c r="P133" s="8"/>
      <c r="Q133" s="8"/>
      <c r="R133" s="8"/>
      <c r="S133" s="6" t="str">
        <f>IF($C133="","",IFERROR(INDEX(Lists!$B$5:$B$16,MATCH(J133,Lists!$A$5:$A$16,0)),0)+IFERROR(INDEX(Lists!$E$5:$E$8,MATCH(K133,Lists!$D$5:$D$8,0)),0)+IFERROR(INDEX(Lists!$H$5:$H$11,MATCH(M133,Lists!$G$5:$G$11,0)),0)+IFERROR(INDEX(Lists!$K$5:$K$9,MATCH(P133,Lists!$J$5:$J$9,0)),0))</f>
        <v/>
      </c>
      <c r="T133" s="6" t="str">
        <f t="shared" ref="T133:T196" si="5">IF($C133="","",IF(AND(S133&gt;=75,LEFT(P133,3)="Yes"),"Hot",IF(S133&gt;=55,"Warm","Cold")))</f>
        <v/>
      </c>
      <c r="U133" s="11"/>
      <c r="V133" s="7"/>
      <c r="W133" s="8"/>
      <c r="X133" s="11"/>
    </row>
    <row r="134" spans="1:24" x14ac:dyDescent="0.25">
      <c r="A134" s="6" t="str">
        <f t="shared" si="4"/>
        <v/>
      </c>
      <c r="B134" s="7"/>
      <c r="C134" s="8"/>
      <c r="D134" s="8"/>
      <c r="E134" s="8"/>
      <c r="F134" s="9"/>
      <c r="G134" s="8"/>
      <c r="H134" s="8"/>
      <c r="I134" s="8"/>
      <c r="J134" s="8"/>
      <c r="K134" s="8"/>
      <c r="L134" s="10"/>
      <c r="M134" s="8"/>
      <c r="N134" s="8"/>
      <c r="O134" s="11"/>
      <c r="P134" s="8"/>
      <c r="Q134" s="8"/>
      <c r="R134" s="8"/>
      <c r="S134" s="6" t="str">
        <f>IF($C134="","",IFERROR(INDEX(Lists!$B$5:$B$16,MATCH(J134,Lists!$A$5:$A$16,0)),0)+IFERROR(INDEX(Lists!$E$5:$E$8,MATCH(K134,Lists!$D$5:$D$8,0)),0)+IFERROR(INDEX(Lists!$H$5:$H$11,MATCH(M134,Lists!$G$5:$G$11,0)),0)+IFERROR(INDEX(Lists!$K$5:$K$9,MATCH(P134,Lists!$J$5:$J$9,0)),0))</f>
        <v/>
      </c>
      <c r="T134" s="6" t="str">
        <f t="shared" si="5"/>
        <v/>
      </c>
      <c r="U134" s="11"/>
      <c r="V134" s="7"/>
      <c r="W134" s="8"/>
      <c r="X134" s="11"/>
    </row>
    <row r="135" spans="1:24" x14ac:dyDescent="0.25">
      <c r="A135" s="6" t="str">
        <f t="shared" si="4"/>
        <v/>
      </c>
      <c r="B135" s="7"/>
      <c r="C135" s="8"/>
      <c r="D135" s="8"/>
      <c r="E135" s="8"/>
      <c r="F135" s="9"/>
      <c r="G135" s="8"/>
      <c r="H135" s="8"/>
      <c r="I135" s="8"/>
      <c r="J135" s="8"/>
      <c r="K135" s="8"/>
      <c r="L135" s="10"/>
      <c r="M135" s="8"/>
      <c r="N135" s="8"/>
      <c r="O135" s="11"/>
      <c r="P135" s="8"/>
      <c r="Q135" s="8"/>
      <c r="R135" s="8"/>
      <c r="S135" s="6" t="str">
        <f>IF($C135="","",IFERROR(INDEX(Lists!$B$5:$B$16,MATCH(J135,Lists!$A$5:$A$16,0)),0)+IFERROR(INDEX(Lists!$E$5:$E$8,MATCH(K135,Lists!$D$5:$D$8,0)),0)+IFERROR(INDEX(Lists!$H$5:$H$11,MATCH(M135,Lists!$G$5:$G$11,0)),0)+IFERROR(INDEX(Lists!$K$5:$K$9,MATCH(P135,Lists!$J$5:$J$9,0)),0))</f>
        <v/>
      </c>
      <c r="T135" s="6" t="str">
        <f t="shared" si="5"/>
        <v/>
      </c>
      <c r="U135" s="11"/>
      <c r="V135" s="7"/>
      <c r="W135" s="8"/>
      <c r="X135" s="11"/>
    </row>
    <row r="136" spans="1:24" x14ac:dyDescent="0.25">
      <c r="A136" s="6" t="str">
        <f t="shared" si="4"/>
        <v/>
      </c>
      <c r="B136" s="7"/>
      <c r="C136" s="8"/>
      <c r="D136" s="8"/>
      <c r="E136" s="8"/>
      <c r="F136" s="9"/>
      <c r="G136" s="8"/>
      <c r="H136" s="8"/>
      <c r="I136" s="8"/>
      <c r="J136" s="8"/>
      <c r="K136" s="8"/>
      <c r="L136" s="10"/>
      <c r="M136" s="8"/>
      <c r="N136" s="8"/>
      <c r="O136" s="11"/>
      <c r="P136" s="8"/>
      <c r="Q136" s="8"/>
      <c r="R136" s="8"/>
      <c r="S136" s="6" t="str">
        <f>IF($C136="","",IFERROR(INDEX(Lists!$B$5:$B$16,MATCH(J136,Lists!$A$5:$A$16,0)),0)+IFERROR(INDEX(Lists!$E$5:$E$8,MATCH(K136,Lists!$D$5:$D$8,0)),0)+IFERROR(INDEX(Lists!$H$5:$H$11,MATCH(M136,Lists!$G$5:$G$11,0)),0)+IFERROR(INDEX(Lists!$K$5:$K$9,MATCH(P136,Lists!$J$5:$J$9,0)),0))</f>
        <v/>
      </c>
      <c r="T136" s="6" t="str">
        <f t="shared" si="5"/>
        <v/>
      </c>
      <c r="U136" s="11"/>
      <c r="V136" s="7"/>
      <c r="W136" s="8"/>
      <c r="X136" s="11"/>
    </row>
    <row r="137" spans="1:24" x14ac:dyDescent="0.25">
      <c r="A137" s="6" t="str">
        <f t="shared" si="4"/>
        <v/>
      </c>
      <c r="B137" s="7"/>
      <c r="C137" s="8"/>
      <c r="D137" s="8"/>
      <c r="E137" s="8"/>
      <c r="F137" s="9"/>
      <c r="G137" s="8"/>
      <c r="H137" s="8"/>
      <c r="I137" s="8"/>
      <c r="J137" s="8"/>
      <c r="K137" s="8"/>
      <c r="L137" s="10"/>
      <c r="M137" s="8"/>
      <c r="N137" s="8"/>
      <c r="O137" s="11"/>
      <c r="P137" s="8"/>
      <c r="Q137" s="8"/>
      <c r="R137" s="8"/>
      <c r="S137" s="6" t="str">
        <f>IF($C137="","",IFERROR(INDEX(Lists!$B$5:$B$16,MATCH(J137,Lists!$A$5:$A$16,0)),0)+IFERROR(INDEX(Lists!$E$5:$E$8,MATCH(K137,Lists!$D$5:$D$8,0)),0)+IFERROR(INDEX(Lists!$H$5:$H$11,MATCH(M137,Lists!$G$5:$G$11,0)),0)+IFERROR(INDEX(Lists!$K$5:$K$9,MATCH(P137,Lists!$J$5:$J$9,0)),0))</f>
        <v/>
      </c>
      <c r="T137" s="6" t="str">
        <f t="shared" si="5"/>
        <v/>
      </c>
      <c r="U137" s="11"/>
      <c r="V137" s="7"/>
      <c r="W137" s="8"/>
      <c r="X137" s="11"/>
    </row>
    <row r="138" spans="1:24" x14ac:dyDescent="0.25">
      <c r="A138" s="6" t="str">
        <f t="shared" si="4"/>
        <v/>
      </c>
      <c r="B138" s="7"/>
      <c r="C138" s="8"/>
      <c r="D138" s="8"/>
      <c r="E138" s="8"/>
      <c r="F138" s="9"/>
      <c r="G138" s="8"/>
      <c r="H138" s="8"/>
      <c r="I138" s="8"/>
      <c r="J138" s="8"/>
      <c r="K138" s="8"/>
      <c r="L138" s="10"/>
      <c r="M138" s="8"/>
      <c r="N138" s="8"/>
      <c r="O138" s="11"/>
      <c r="P138" s="8"/>
      <c r="Q138" s="8"/>
      <c r="R138" s="8"/>
      <c r="S138" s="6" t="str">
        <f>IF($C138="","",IFERROR(INDEX(Lists!$B$5:$B$16,MATCH(J138,Lists!$A$5:$A$16,0)),0)+IFERROR(INDEX(Lists!$E$5:$E$8,MATCH(K138,Lists!$D$5:$D$8,0)),0)+IFERROR(INDEX(Lists!$H$5:$H$11,MATCH(M138,Lists!$G$5:$G$11,0)),0)+IFERROR(INDEX(Lists!$K$5:$K$9,MATCH(P138,Lists!$J$5:$J$9,0)),0))</f>
        <v/>
      </c>
      <c r="T138" s="6" t="str">
        <f t="shared" si="5"/>
        <v/>
      </c>
      <c r="U138" s="11"/>
      <c r="V138" s="7"/>
      <c r="W138" s="8"/>
      <c r="X138" s="11"/>
    </row>
    <row r="139" spans="1:24" x14ac:dyDescent="0.25">
      <c r="A139" s="6" t="str">
        <f t="shared" si="4"/>
        <v/>
      </c>
      <c r="B139" s="7"/>
      <c r="C139" s="8"/>
      <c r="D139" s="8"/>
      <c r="E139" s="8"/>
      <c r="F139" s="9"/>
      <c r="G139" s="8"/>
      <c r="H139" s="8"/>
      <c r="I139" s="8"/>
      <c r="J139" s="8"/>
      <c r="K139" s="8"/>
      <c r="L139" s="10"/>
      <c r="M139" s="8"/>
      <c r="N139" s="8"/>
      <c r="O139" s="11"/>
      <c r="P139" s="8"/>
      <c r="Q139" s="8"/>
      <c r="R139" s="8"/>
      <c r="S139" s="6" t="str">
        <f>IF($C139="","",IFERROR(INDEX(Lists!$B$5:$B$16,MATCH(J139,Lists!$A$5:$A$16,0)),0)+IFERROR(INDEX(Lists!$E$5:$E$8,MATCH(K139,Lists!$D$5:$D$8,0)),0)+IFERROR(INDEX(Lists!$H$5:$H$11,MATCH(M139,Lists!$G$5:$G$11,0)),0)+IFERROR(INDEX(Lists!$K$5:$K$9,MATCH(P139,Lists!$J$5:$J$9,0)),0))</f>
        <v/>
      </c>
      <c r="T139" s="6" t="str">
        <f t="shared" si="5"/>
        <v/>
      </c>
      <c r="U139" s="11"/>
      <c r="V139" s="7"/>
      <c r="W139" s="8"/>
      <c r="X139" s="11"/>
    </row>
    <row r="140" spans="1:24" x14ac:dyDescent="0.25">
      <c r="A140" s="6" t="str">
        <f t="shared" si="4"/>
        <v/>
      </c>
      <c r="B140" s="7"/>
      <c r="C140" s="8"/>
      <c r="D140" s="8"/>
      <c r="E140" s="8"/>
      <c r="F140" s="9"/>
      <c r="G140" s="8"/>
      <c r="H140" s="8"/>
      <c r="I140" s="8"/>
      <c r="J140" s="8"/>
      <c r="K140" s="8"/>
      <c r="L140" s="10"/>
      <c r="M140" s="8"/>
      <c r="N140" s="8"/>
      <c r="O140" s="11"/>
      <c r="P140" s="8"/>
      <c r="Q140" s="8"/>
      <c r="R140" s="8"/>
      <c r="S140" s="6" t="str">
        <f>IF($C140="","",IFERROR(INDEX(Lists!$B$5:$B$16,MATCH(J140,Lists!$A$5:$A$16,0)),0)+IFERROR(INDEX(Lists!$E$5:$E$8,MATCH(K140,Lists!$D$5:$D$8,0)),0)+IFERROR(INDEX(Lists!$H$5:$H$11,MATCH(M140,Lists!$G$5:$G$11,0)),0)+IFERROR(INDEX(Lists!$K$5:$K$9,MATCH(P140,Lists!$J$5:$J$9,0)),0))</f>
        <v/>
      </c>
      <c r="T140" s="6" t="str">
        <f t="shared" si="5"/>
        <v/>
      </c>
      <c r="U140" s="11"/>
      <c r="V140" s="7"/>
      <c r="W140" s="8"/>
      <c r="X140" s="11"/>
    </row>
    <row r="141" spans="1:24" x14ac:dyDescent="0.25">
      <c r="A141" s="6" t="str">
        <f t="shared" si="4"/>
        <v/>
      </c>
      <c r="B141" s="7"/>
      <c r="C141" s="8"/>
      <c r="D141" s="8"/>
      <c r="E141" s="8"/>
      <c r="F141" s="9"/>
      <c r="G141" s="8"/>
      <c r="H141" s="8"/>
      <c r="I141" s="8"/>
      <c r="J141" s="8"/>
      <c r="K141" s="8"/>
      <c r="L141" s="10"/>
      <c r="M141" s="8"/>
      <c r="N141" s="8"/>
      <c r="O141" s="11"/>
      <c r="P141" s="8"/>
      <c r="Q141" s="8"/>
      <c r="R141" s="8"/>
      <c r="S141" s="6" t="str">
        <f>IF($C141="","",IFERROR(INDEX(Lists!$B$5:$B$16,MATCH(J141,Lists!$A$5:$A$16,0)),0)+IFERROR(INDEX(Lists!$E$5:$E$8,MATCH(K141,Lists!$D$5:$D$8,0)),0)+IFERROR(INDEX(Lists!$H$5:$H$11,MATCH(M141,Lists!$G$5:$G$11,0)),0)+IFERROR(INDEX(Lists!$K$5:$K$9,MATCH(P141,Lists!$J$5:$J$9,0)),0))</f>
        <v/>
      </c>
      <c r="T141" s="6" t="str">
        <f t="shared" si="5"/>
        <v/>
      </c>
      <c r="U141" s="11"/>
      <c r="V141" s="7"/>
      <c r="W141" s="8"/>
      <c r="X141" s="11"/>
    </row>
    <row r="142" spans="1:24" x14ac:dyDescent="0.25">
      <c r="A142" s="6" t="str">
        <f t="shared" si="4"/>
        <v/>
      </c>
      <c r="B142" s="7"/>
      <c r="C142" s="8"/>
      <c r="D142" s="8"/>
      <c r="E142" s="8"/>
      <c r="F142" s="9"/>
      <c r="G142" s="8"/>
      <c r="H142" s="8"/>
      <c r="I142" s="8"/>
      <c r="J142" s="8"/>
      <c r="K142" s="8"/>
      <c r="L142" s="10"/>
      <c r="M142" s="8"/>
      <c r="N142" s="8"/>
      <c r="O142" s="11"/>
      <c r="P142" s="8"/>
      <c r="Q142" s="8"/>
      <c r="R142" s="8"/>
      <c r="S142" s="6" t="str">
        <f>IF($C142="","",IFERROR(INDEX(Lists!$B$5:$B$16,MATCH(J142,Lists!$A$5:$A$16,0)),0)+IFERROR(INDEX(Lists!$E$5:$E$8,MATCH(K142,Lists!$D$5:$D$8,0)),0)+IFERROR(INDEX(Lists!$H$5:$H$11,MATCH(M142,Lists!$G$5:$G$11,0)),0)+IFERROR(INDEX(Lists!$K$5:$K$9,MATCH(P142,Lists!$J$5:$J$9,0)),0))</f>
        <v/>
      </c>
      <c r="T142" s="6" t="str">
        <f t="shared" si="5"/>
        <v/>
      </c>
      <c r="U142" s="11"/>
      <c r="V142" s="7"/>
      <c r="W142" s="8"/>
      <c r="X142" s="11"/>
    </row>
    <row r="143" spans="1:24" x14ac:dyDescent="0.25">
      <c r="A143" s="6" t="str">
        <f t="shared" si="4"/>
        <v/>
      </c>
      <c r="B143" s="7"/>
      <c r="C143" s="8"/>
      <c r="D143" s="8"/>
      <c r="E143" s="8"/>
      <c r="F143" s="9"/>
      <c r="G143" s="8"/>
      <c r="H143" s="8"/>
      <c r="I143" s="8"/>
      <c r="J143" s="8"/>
      <c r="K143" s="8"/>
      <c r="L143" s="10"/>
      <c r="M143" s="8"/>
      <c r="N143" s="8"/>
      <c r="O143" s="11"/>
      <c r="P143" s="8"/>
      <c r="Q143" s="8"/>
      <c r="R143" s="8"/>
      <c r="S143" s="6" t="str">
        <f>IF($C143="","",IFERROR(INDEX(Lists!$B$5:$B$16,MATCH(J143,Lists!$A$5:$A$16,0)),0)+IFERROR(INDEX(Lists!$E$5:$E$8,MATCH(K143,Lists!$D$5:$D$8,0)),0)+IFERROR(INDEX(Lists!$H$5:$H$11,MATCH(M143,Lists!$G$5:$G$11,0)),0)+IFERROR(INDEX(Lists!$K$5:$K$9,MATCH(P143,Lists!$J$5:$J$9,0)),0))</f>
        <v/>
      </c>
      <c r="T143" s="6" t="str">
        <f t="shared" si="5"/>
        <v/>
      </c>
      <c r="U143" s="11"/>
      <c r="V143" s="7"/>
      <c r="W143" s="8"/>
      <c r="X143" s="11"/>
    </row>
    <row r="144" spans="1:24" x14ac:dyDescent="0.25">
      <c r="A144" s="6" t="str">
        <f t="shared" si="4"/>
        <v/>
      </c>
      <c r="B144" s="7"/>
      <c r="C144" s="8"/>
      <c r="D144" s="8"/>
      <c r="E144" s="8"/>
      <c r="F144" s="9"/>
      <c r="G144" s="8"/>
      <c r="H144" s="8"/>
      <c r="I144" s="8"/>
      <c r="J144" s="8"/>
      <c r="K144" s="8"/>
      <c r="L144" s="10"/>
      <c r="M144" s="8"/>
      <c r="N144" s="8"/>
      <c r="O144" s="11"/>
      <c r="P144" s="8"/>
      <c r="Q144" s="8"/>
      <c r="R144" s="8"/>
      <c r="S144" s="6" t="str">
        <f>IF($C144="","",IFERROR(INDEX(Lists!$B$5:$B$16,MATCH(J144,Lists!$A$5:$A$16,0)),0)+IFERROR(INDEX(Lists!$E$5:$E$8,MATCH(K144,Lists!$D$5:$D$8,0)),0)+IFERROR(INDEX(Lists!$H$5:$H$11,MATCH(M144,Lists!$G$5:$G$11,0)),0)+IFERROR(INDEX(Lists!$K$5:$K$9,MATCH(P144,Lists!$J$5:$J$9,0)),0))</f>
        <v/>
      </c>
      <c r="T144" s="6" t="str">
        <f t="shared" si="5"/>
        <v/>
      </c>
      <c r="U144" s="11"/>
      <c r="V144" s="7"/>
      <c r="W144" s="8"/>
      <c r="X144" s="11"/>
    </row>
    <row r="145" spans="1:24" x14ac:dyDescent="0.25">
      <c r="A145" s="6" t="str">
        <f t="shared" si="4"/>
        <v/>
      </c>
      <c r="B145" s="7"/>
      <c r="C145" s="8"/>
      <c r="D145" s="8"/>
      <c r="E145" s="8"/>
      <c r="F145" s="9"/>
      <c r="G145" s="8"/>
      <c r="H145" s="8"/>
      <c r="I145" s="8"/>
      <c r="J145" s="8"/>
      <c r="K145" s="8"/>
      <c r="L145" s="10"/>
      <c r="M145" s="8"/>
      <c r="N145" s="8"/>
      <c r="O145" s="11"/>
      <c r="P145" s="8"/>
      <c r="Q145" s="8"/>
      <c r="R145" s="8"/>
      <c r="S145" s="6" t="str">
        <f>IF($C145="","",IFERROR(INDEX(Lists!$B$5:$B$16,MATCH(J145,Lists!$A$5:$A$16,0)),0)+IFERROR(INDEX(Lists!$E$5:$E$8,MATCH(K145,Lists!$D$5:$D$8,0)),0)+IFERROR(INDEX(Lists!$H$5:$H$11,MATCH(M145,Lists!$G$5:$G$11,0)),0)+IFERROR(INDEX(Lists!$K$5:$K$9,MATCH(P145,Lists!$J$5:$J$9,0)),0))</f>
        <v/>
      </c>
      <c r="T145" s="6" t="str">
        <f t="shared" si="5"/>
        <v/>
      </c>
      <c r="U145" s="11"/>
      <c r="V145" s="7"/>
      <c r="W145" s="8"/>
      <c r="X145" s="11"/>
    </row>
    <row r="146" spans="1:24" x14ac:dyDescent="0.25">
      <c r="A146" s="6" t="str">
        <f t="shared" si="4"/>
        <v/>
      </c>
      <c r="B146" s="7"/>
      <c r="C146" s="8"/>
      <c r="D146" s="8"/>
      <c r="E146" s="8"/>
      <c r="F146" s="9"/>
      <c r="G146" s="8"/>
      <c r="H146" s="8"/>
      <c r="I146" s="8"/>
      <c r="J146" s="8"/>
      <c r="K146" s="8"/>
      <c r="L146" s="10"/>
      <c r="M146" s="8"/>
      <c r="N146" s="8"/>
      <c r="O146" s="11"/>
      <c r="P146" s="8"/>
      <c r="Q146" s="8"/>
      <c r="R146" s="8"/>
      <c r="S146" s="6" t="str">
        <f>IF($C146="","",IFERROR(INDEX(Lists!$B$5:$B$16,MATCH(J146,Lists!$A$5:$A$16,0)),0)+IFERROR(INDEX(Lists!$E$5:$E$8,MATCH(K146,Lists!$D$5:$D$8,0)),0)+IFERROR(INDEX(Lists!$H$5:$H$11,MATCH(M146,Lists!$G$5:$G$11,0)),0)+IFERROR(INDEX(Lists!$K$5:$K$9,MATCH(P146,Lists!$J$5:$J$9,0)),0))</f>
        <v/>
      </c>
      <c r="T146" s="6" t="str">
        <f t="shared" si="5"/>
        <v/>
      </c>
      <c r="U146" s="11"/>
      <c r="V146" s="7"/>
      <c r="W146" s="8"/>
      <c r="X146" s="11"/>
    </row>
    <row r="147" spans="1:24" x14ac:dyDescent="0.25">
      <c r="A147" s="6" t="str">
        <f t="shared" si="4"/>
        <v/>
      </c>
      <c r="B147" s="7"/>
      <c r="C147" s="8"/>
      <c r="D147" s="8"/>
      <c r="E147" s="8"/>
      <c r="F147" s="9"/>
      <c r="G147" s="8"/>
      <c r="H147" s="8"/>
      <c r="I147" s="8"/>
      <c r="J147" s="8"/>
      <c r="K147" s="8"/>
      <c r="L147" s="10"/>
      <c r="M147" s="8"/>
      <c r="N147" s="8"/>
      <c r="O147" s="11"/>
      <c r="P147" s="8"/>
      <c r="Q147" s="8"/>
      <c r="R147" s="8"/>
      <c r="S147" s="6" t="str">
        <f>IF($C147="","",IFERROR(INDEX(Lists!$B$5:$B$16,MATCH(J147,Lists!$A$5:$A$16,0)),0)+IFERROR(INDEX(Lists!$E$5:$E$8,MATCH(K147,Lists!$D$5:$D$8,0)),0)+IFERROR(INDEX(Lists!$H$5:$H$11,MATCH(M147,Lists!$G$5:$G$11,0)),0)+IFERROR(INDEX(Lists!$K$5:$K$9,MATCH(P147,Lists!$J$5:$J$9,0)),0))</f>
        <v/>
      </c>
      <c r="T147" s="6" t="str">
        <f t="shared" si="5"/>
        <v/>
      </c>
      <c r="U147" s="11"/>
      <c r="V147" s="7"/>
      <c r="W147" s="8"/>
      <c r="X147" s="11"/>
    </row>
    <row r="148" spans="1:24" x14ac:dyDescent="0.25">
      <c r="A148" s="6" t="str">
        <f t="shared" si="4"/>
        <v/>
      </c>
      <c r="B148" s="7"/>
      <c r="C148" s="8"/>
      <c r="D148" s="8"/>
      <c r="E148" s="8"/>
      <c r="F148" s="9"/>
      <c r="G148" s="8"/>
      <c r="H148" s="8"/>
      <c r="I148" s="8"/>
      <c r="J148" s="8"/>
      <c r="K148" s="8"/>
      <c r="L148" s="10"/>
      <c r="M148" s="8"/>
      <c r="N148" s="8"/>
      <c r="O148" s="11"/>
      <c r="P148" s="8"/>
      <c r="Q148" s="8"/>
      <c r="R148" s="8"/>
      <c r="S148" s="6" t="str">
        <f>IF($C148="","",IFERROR(INDEX(Lists!$B$5:$B$16,MATCH(J148,Lists!$A$5:$A$16,0)),0)+IFERROR(INDEX(Lists!$E$5:$E$8,MATCH(K148,Lists!$D$5:$D$8,0)),0)+IFERROR(INDEX(Lists!$H$5:$H$11,MATCH(M148,Lists!$G$5:$G$11,0)),0)+IFERROR(INDEX(Lists!$K$5:$K$9,MATCH(P148,Lists!$J$5:$J$9,0)),0))</f>
        <v/>
      </c>
      <c r="T148" s="6" t="str">
        <f t="shared" si="5"/>
        <v/>
      </c>
      <c r="U148" s="11"/>
      <c r="V148" s="7"/>
      <c r="W148" s="8"/>
      <c r="X148" s="11"/>
    </row>
    <row r="149" spans="1:24" x14ac:dyDescent="0.25">
      <c r="A149" s="6" t="str">
        <f t="shared" si="4"/>
        <v/>
      </c>
      <c r="B149" s="7"/>
      <c r="C149" s="8"/>
      <c r="D149" s="8"/>
      <c r="E149" s="8"/>
      <c r="F149" s="9"/>
      <c r="G149" s="8"/>
      <c r="H149" s="8"/>
      <c r="I149" s="8"/>
      <c r="J149" s="8"/>
      <c r="K149" s="8"/>
      <c r="L149" s="10"/>
      <c r="M149" s="8"/>
      <c r="N149" s="8"/>
      <c r="O149" s="11"/>
      <c r="P149" s="8"/>
      <c r="Q149" s="8"/>
      <c r="R149" s="8"/>
      <c r="S149" s="6" t="str">
        <f>IF($C149="","",IFERROR(INDEX(Lists!$B$5:$B$16,MATCH(J149,Lists!$A$5:$A$16,0)),0)+IFERROR(INDEX(Lists!$E$5:$E$8,MATCH(K149,Lists!$D$5:$D$8,0)),0)+IFERROR(INDEX(Lists!$H$5:$H$11,MATCH(M149,Lists!$G$5:$G$11,0)),0)+IFERROR(INDEX(Lists!$K$5:$K$9,MATCH(P149,Lists!$J$5:$J$9,0)),0))</f>
        <v/>
      </c>
      <c r="T149" s="6" t="str">
        <f t="shared" si="5"/>
        <v/>
      </c>
      <c r="U149" s="11"/>
      <c r="V149" s="7"/>
      <c r="W149" s="8"/>
      <c r="X149" s="11"/>
    </row>
    <row r="150" spans="1:24" x14ac:dyDescent="0.25">
      <c r="A150" s="6" t="str">
        <f t="shared" si="4"/>
        <v/>
      </c>
      <c r="B150" s="7"/>
      <c r="C150" s="8"/>
      <c r="D150" s="8"/>
      <c r="E150" s="8"/>
      <c r="F150" s="9"/>
      <c r="G150" s="8"/>
      <c r="H150" s="8"/>
      <c r="I150" s="8"/>
      <c r="J150" s="8"/>
      <c r="K150" s="8"/>
      <c r="L150" s="10"/>
      <c r="M150" s="8"/>
      <c r="N150" s="8"/>
      <c r="O150" s="11"/>
      <c r="P150" s="8"/>
      <c r="Q150" s="8"/>
      <c r="R150" s="8"/>
      <c r="S150" s="6" t="str">
        <f>IF($C150="","",IFERROR(INDEX(Lists!$B$5:$B$16,MATCH(J150,Lists!$A$5:$A$16,0)),0)+IFERROR(INDEX(Lists!$E$5:$E$8,MATCH(K150,Lists!$D$5:$D$8,0)),0)+IFERROR(INDEX(Lists!$H$5:$H$11,MATCH(M150,Lists!$G$5:$G$11,0)),0)+IFERROR(INDEX(Lists!$K$5:$K$9,MATCH(P150,Lists!$J$5:$J$9,0)),0))</f>
        <v/>
      </c>
      <c r="T150" s="6" t="str">
        <f t="shared" si="5"/>
        <v/>
      </c>
      <c r="U150" s="11"/>
      <c r="V150" s="7"/>
      <c r="W150" s="8"/>
      <c r="X150" s="11"/>
    </row>
    <row r="151" spans="1:24" x14ac:dyDescent="0.25">
      <c r="A151" s="6" t="str">
        <f t="shared" si="4"/>
        <v/>
      </c>
      <c r="B151" s="7"/>
      <c r="C151" s="8"/>
      <c r="D151" s="8"/>
      <c r="E151" s="8"/>
      <c r="F151" s="9"/>
      <c r="G151" s="8"/>
      <c r="H151" s="8"/>
      <c r="I151" s="8"/>
      <c r="J151" s="8"/>
      <c r="K151" s="8"/>
      <c r="L151" s="10"/>
      <c r="M151" s="8"/>
      <c r="N151" s="8"/>
      <c r="O151" s="11"/>
      <c r="P151" s="8"/>
      <c r="Q151" s="8"/>
      <c r="R151" s="8"/>
      <c r="S151" s="6" t="str">
        <f>IF($C151="","",IFERROR(INDEX(Lists!$B$5:$B$16,MATCH(J151,Lists!$A$5:$A$16,0)),0)+IFERROR(INDEX(Lists!$E$5:$E$8,MATCH(K151,Lists!$D$5:$D$8,0)),0)+IFERROR(INDEX(Lists!$H$5:$H$11,MATCH(M151,Lists!$G$5:$G$11,0)),0)+IFERROR(INDEX(Lists!$K$5:$K$9,MATCH(P151,Lists!$J$5:$J$9,0)),0))</f>
        <v/>
      </c>
      <c r="T151" s="6" t="str">
        <f t="shared" si="5"/>
        <v/>
      </c>
      <c r="U151" s="11"/>
      <c r="V151" s="7"/>
      <c r="W151" s="8"/>
      <c r="X151" s="11"/>
    </row>
    <row r="152" spans="1:24" x14ac:dyDescent="0.25">
      <c r="A152" s="6" t="str">
        <f t="shared" si="4"/>
        <v/>
      </c>
      <c r="B152" s="7"/>
      <c r="C152" s="8"/>
      <c r="D152" s="8"/>
      <c r="E152" s="8"/>
      <c r="F152" s="9"/>
      <c r="G152" s="8"/>
      <c r="H152" s="8"/>
      <c r="I152" s="8"/>
      <c r="J152" s="8"/>
      <c r="K152" s="8"/>
      <c r="L152" s="10"/>
      <c r="M152" s="8"/>
      <c r="N152" s="8"/>
      <c r="O152" s="11"/>
      <c r="P152" s="8"/>
      <c r="Q152" s="8"/>
      <c r="R152" s="8"/>
      <c r="S152" s="6" t="str">
        <f>IF($C152="","",IFERROR(INDEX(Lists!$B$5:$B$16,MATCH(J152,Lists!$A$5:$A$16,0)),0)+IFERROR(INDEX(Lists!$E$5:$E$8,MATCH(K152,Lists!$D$5:$D$8,0)),0)+IFERROR(INDEX(Lists!$H$5:$H$11,MATCH(M152,Lists!$G$5:$G$11,0)),0)+IFERROR(INDEX(Lists!$K$5:$K$9,MATCH(P152,Lists!$J$5:$J$9,0)),0))</f>
        <v/>
      </c>
      <c r="T152" s="6" t="str">
        <f t="shared" si="5"/>
        <v/>
      </c>
      <c r="U152" s="11"/>
      <c r="V152" s="7"/>
      <c r="W152" s="8"/>
      <c r="X152" s="11"/>
    </row>
    <row r="153" spans="1:24" x14ac:dyDescent="0.25">
      <c r="A153" s="6" t="str">
        <f t="shared" si="4"/>
        <v/>
      </c>
      <c r="B153" s="7"/>
      <c r="C153" s="8"/>
      <c r="D153" s="8"/>
      <c r="E153" s="8"/>
      <c r="F153" s="9"/>
      <c r="G153" s="8"/>
      <c r="H153" s="8"/>
      <c r="I153" s="8"/>
      <c r="J153" s="8"/>
      <c r="K153" s="8"/>
      <c r="L153" s="10"/>
      <c r="M153" s="8"/>
      <c r="N153" s="8"/>
      <c r="O153" s="11"/>
      <c r="P153" s="8"/>
      <c r="Q153" s="8"/>
      <c r="R153" s="8"/>
      <c r="S153" s="6" t="str">
        <f>IF($C153="","",IFERROR(INDEX(Lists!$B$5:$B$16,MATCH(J153,Lists!$A$5:$A$16,0)),0)+IFERROR(INDEX(Lists!$E$5:$E$8,MATCH(K153,Lists!$D$5:$D$8,0)),0)+IFERROR(INDEX(Lists!$H$5:$H$11,MATCH(M153,Lists!$G$5:$G$11,0)),0)+IFERROR(INDEX(Lists!$K$5:$K$9,MATCH(P153,Lists!$J$5:$J$9,0)),0))</f>
        <v/>
      </c>
      <c r="T153" s="6" t="str">
        <f t="shared" si="5"/>
        <v/>
      </c>
      <c r="U153" s="11"/>
      <c r="V153" s="7"/>
      <c r="W153" s="8"/>
      <c r="X153" s="11"/>
    </row>
    <row r="154" spans="1:24" x14ac:dyDescent="0.25">
      <c r="A154" s="6" t="str">
        <f t="shared" si="4"/>
        <v/>
      </c>
      <c r="B154" s="7"/>
      <c r="C154" s="8"/>
      <c r="D154" s="8"/>
      <c r="E154" s="8"/>
      <c r="F154" s="9"/>
      <c r="G154" s="8"/>
      <c r="H154" s="8"/>
      <c r="I154" s="8"/>
      <c r="J154" s="8"/>
      <c r="K154" s="8"/>
      <c r="L154" s="10"/>
      <c r="M154" s="8"/>
      <c r="N154" s="8"/>
      <c r="O154" s="11"/>
      <c r="P154" s="8"/>
      <c r="Q154" s="8"/>
      <c r="R154" s="8"/>
      <c r="S154" s="6" t="str">
        <f>IF($C154="","",IFERROR(INDEX(Lists!$B$5:$B$16,MATCH(J154,Lists!$A$5:$A$16,0)),0)+IFERROR(INDEX(Lists!$E$5:$E$8,MATCH(K154,Lists!$D$5:$D$8,0)),0)+IFERROR(INDEX(Lists!$H$5:$H$11,MATCH(M154,Lists!$G$5:$G$11,0)),0)+IFERROR(INDEX(Lists!$K$5:$K$9,MATCH(P154,Lists!$J$5:$J$9,0)),0))</f>
        <v/>
      </c>
      <c r="T154" s="6" t="str">
        <f t="shared" si="5"/>
        <v/>
      </c>
      <c r="U154" s="11"/>
      <c r="V154" s="7"/>
      <c r="W154" s="8"/>
      <c r="X154" s="11"/>
    </row>
    <row r="155" spans="1:24" x14ac:dyDescent="0.25">
      <c r="A155" s="6" t="str">
        <f t="shared" si="4"/>
        <v/>
      </c>
      <c r="B155" s="7"/>
      <c r="C155" s="8"/>
      <c r="D155" s="8"/>
      <c r="E155" s="8"/>
      <c r="F155" s="9"/>
      <c r="G155" s="8"/>
      <c r="H155" s="8"/>
      <c r="I155" s="8"/>
      <c r="J155" s="8"/>
      <c r="K155" s="8"/>
      <c r="L155" s="10"/>
      <c r="M155" s="8"/>
      <c r="N155" s="8"/>
      <c r="O155" s="11"/>
      <c r="P155" s="8"/>
      <c r="Q155" s="8"/>
      <c r="R155" s="8"/>
      <c r="S155" s="6" t="str">
        <f>IF($C155="","",IFERROR(INDEX(Lists!$B$5:$B$16,MATCH(J155,Lists!$A$5:$A$16,0)),0)+IFERROR(INDEX(Lists!$E$5:$E$8,MATCH(K155,Lists!$D$5:$D$8,0)),0)+IFERROR(INDEX(Lists!$H$5:$H$11,MATCH(M155,Lists!$G$5:$G$11,0)),0)+IFERROR(INDEX(Lists!$K$5:$K$9,MATCH(P155,Lists!$J$5:$J$9,0)),0))</f>
        <v/>
      </c>
      <c r="T155" s="6" t="str">
        <f t="shared" si="5"/>
        <v/>
      </c>
      <c r="U155" s="11"/>
      <c r="V155" s="7"/>
      <c r="W155" s="8"/>
      <c r="X155" s="11"/>
    </row>
    <row r="156" spans="1:24" x14ac:dyDescent="0.25">
      <c r="A156" s="6" t="str">
        <f t="shared" si="4"/>
        <v/>
      </c>
      <c r="B156" s="7"/>
      <c r="C156" s="8"/>
      <c r="D156" s="8"/>
      <c r="E156" s="8"/>
      <c r="F156" s="9"/>
      <c r="G156" s="8"/>
      <c r="H156" s="8"/>
      <c r="I156" s="8"/>
      <c r="J156" s="8"/>
      <c r="K156" s="8"/>
      <c r="L156" s="10"/>
      <c r="M156" s="8"/>
      <c r="N156" s="8"/>
      <c r="O156" s="11"/>
      <c r="P156" s="8"/>
      <c r="Q156" s="8"/>
      <c r="R156" s="8"/>
      <c r="S156" s="6" t="str">
        <f>IF($C156="","",IFERROR(INDEX(Lists!$B$5:$B$16,MATCH(J156,Lists!$A$5:$A$16,0)),0)+IFERROR(INDEX(Lists!$E$5:$E$8,MATCH(K156,Lists!$D$5:$D$8,0)),0)+IFERROR(INDEX(Lists!$H$5:$H$11,MATCH(M156,Lists!$G$5:$G$11,0)),0)+IFERROR(INDEX(Lists!$K$5:$K$9,MATCH(P156,Lists!$J$5:$J$9,0)),0))</f>
        <v/>
      </c>
      <c r="T156" s="6" t="str">
        <f t="shared" si="5"/>
        <v/>
      </c>
      <c r="U156" s="11"/>
      <c r="V156" s="7"/>
      <c r="W156" s="8"/>
      <c r="X156" s="11"/>
    </row>
    <row r="157" spans="1:24" x14ac:dyDescent="0.25">
      <c r="A157" s="6" t="str">
        <f t="shared" si="4"/>
        <v/>
      </c>
      <c r="B157" s="7"/>
      <c r="C157" s="8"/>
      <c r="D157" s="8"/>
      <c r="E157" s="8"/>
      <c r="F157" s="9"/>
      <c r="G157" s="8"/>
      <c r="H157" s="8"/>
      <c r="I157" s="8"/>
      <c r="J157" s="8"/>
      <c r="K157" s="8"/>
      <c r="L157" s="10"/>
      <c r="M157" s="8"/>
      <c r="N157" s="8"/>
      <c r="O157" s="11"/>
      <c r="P157" s="8"/>
      <c r="Q157" s="8"/>
      <c r="R157" s="8"/>
      <c r="S157" s="6" t="str">
        <f>IF($C157="","",IFERROR(INDEX(Lists!$B$5:$B$16,MATCH(J157,Lists!$A$5:$A$16,0)),0)+IFERROR(INDEX(Lists!$E$5:$E$8,MATCH(K157,Lists!$D$5:$D$8,0)),0)+IFERROR(INDEX(Lists!$H$5:$H$11,MATCH(M157,Lists!$G$5:$G$11,0)),0)+IFERROR(INDEX(Lists!$K$5:$K$9,MATCH(P157,Lists!$J$5:$J$9,0)),0))</f>
        <v/>
      </c>
      <c r="T157" s="6" t="str">
        <f t="shared" si="5"/>
        <v/>
      </c>
      <c r="U157" s="11"/>
      <c r="V157" s="7"/>
      <c r="W157" s="8"/>
      <c r="X157" s="11"/>
    </row>
    <row r="158" spans="1:24" x14ac:dyDescent="0.25">
      <c r="A158" s="6" t="str">
        <f t="shared" si="4"/>
        <v/>
      </c>
      <c r="B158" s="7"/>
      <c r="C158" s="8"/>
      <c r="D158" s="8"/>
      <c r="E158" s="8"/>
      <c r="F158" s="9"/>
      <c r="G158" s="8"/>
      <c r="H158" s="8"/>
      <c r="I158" s="8"/>
      <c r="J158" s="8"/>
      <c r="K158" s="8"/>
      <c r="L158" s="10"/>
      <c r="M158" s="8"/>
      <c r="N158" s="8"/>
      <c r="O158" s="11"/>
      <c r="P158" s="8"/>
      <c r="Q158" s="8"/>
      <c r="R158" s="8"/>
      <c r="S158" s="6" t="str">
        <f>IF($C158="","",IFERROR(INDEX(Lists!$B$5:$B$16,MATCH(J158,Lists!$A$5:$A$16,0)),0)+IFERROR(INDEX(Lists!$E$5:$E$8,MATCH(K158,Lists!$D$5:$D$8,0)),0)+IFERROR(INDEX(Lists!$H$5:$H$11,MATCH(M158,Lists!$G$5:$G$11,0)),0)+IFERROR(INDEX(Lists!$K$5:$K$9,MATCH(P158,Lists!$J$5:$J$9,0)),0))</f>
        <v/>
      </c>
      <c r="T158" s="6" t="str">
        <f t="shared" si="5"/>
        <v/>
      </c>
      <c r="U158" s="11"/>
      <c r="V158" s="7"/>
      <c r="W158" s="8"/>
      <c r="X158" s="11"/>
    </row>
    <row r="159" spans="1:24" x14ac:dyDescent="0.25">
      <c r="A159" s="6" t="str">
        <f t="shared" si="4"/>
        <v/>
      </c>
      <c r="B159" s="7"/>
      <c r="C159" s="8"/>
      <c r="D159" s="8"/>
      <c r="E159" s="8"/>
      <c r="F159" s="9"/>
      <c r="G159" s="8"/>
      <c r="H159" s="8"/>
      <c r="I159" s="8"/>
      <c r="J159" s="8"/>
      <c r="K159" s="8"/>
      <c r="L159" s="10"/>
      <c r="M159" s="8"/>
      <c r="N159" s="8"/>
      <c r="O159" s="11"/>
      <c r="P159" s="8"/>
      <c r="Q159" s="8"/>
      <c r="R159" s="8"/>
      <c r="S159" s="6" t="str">
        <f>IF($C159="","",IFERROR(INDEX(Lists!$B$5:$B$16,MATCH(J159,Lists!$A$5:$A$16,0)),0)+IFERROR(INDEX(Lists!$E$5:$E$8,MATCH(K159,Lists!$D$5:$D$8,0)),0)+IFERROR(INDEX(Lists!$H$5:$H$11,MATCH(M159,Lists!$G$5:$G$11,0)),0)+IFERROR(INDEX(Lists!$K$5:$K$9,MATCH(P159,Lists!$J$5:$J$9,0)),0))</f>
        <v/>
      </c>
      <c r="T159" s="6" t="str">
        <f t="shared" si="5"/>
        <v/>
      </c>
      <c r="U159" s="11"/>
      <c r="V159" s="7"/>
      <c r="W159" s="8"/>
      <c r="X159" s="11"/>
    </row>
    <row r="160" spans="1:24" x14ac:dyDescent="0.25">
      <c r="A160" s="6" t="str">
        <f t="shared" si="4"/>
        <v/>
      </c>
      <c r="B160" s="7"/>
      <c r="C160" s="8"/>
      <c r="D160" s="8"/>
      <c r="E160" s="8"/>
      <c r="F160" s="9"/>
      <c r="G160" s="8"/>
      <c r="H160" s="8"/>
      <c r="I160" s="8"/>
      <c r="J160" s="8"/>
      <c r="K160" s="8"/>
      <c r="L160" s="10"/>
      <c r="M160" s="8"/>
      <c r="N160" s="8"/>
      <c r="O160" s="11"/>
      <c r="P160" s="8"/>
      <c r="Q160" s="8"/>
      <c r="R160" s="8"/>
      <c r="S160" s="6" t="str">
        <f>IF($C160="","",IFERROR(INDEX(Lists!$B$5:$B$16,MATCH(J160,Lists!$A$5:$A$16,0)),0)+IFERROR(INDEX(Lists!$E$5:$E$8,MATCH(K160,Lists!$D$5:$D$8,0)),0)+IFERROR(INDEX(Lists!$H$5:$H$11,MATCH(M160,Lists!$G$5:$G$11,0)),0)+IFERROR(INDEX(Lists!$K$5:$K$9,MATCH(P160,Lists!$J$5:$J$9,0)),0))</f>
        <v/>
      </c>
      <c r="T160" s="6" t="str">
        <f t="shared" si="5"/>
        <v/>
      </c>
      <c r="U160" s="11"/>
      <c r="V160" s="7"/>
      <c r="W160" s="8"/>
      <c r="X160" s="11"/>
    </row>
    <row r="161" spans="1:24" x14ac:dyDescent="0.25">
      <c r="A161" s="6" t="str">
        <f t="shared" si="4"/>
        <v/>
      </c>
      <c r="B161" s="7"/>
      <c r="C161" s="8"/>
      <c r="D161" s="8"/>
      <c r="E161" s="8"/>
      <c r="F161" s="9"/>
      <c r="G161" s="8"/>
      <c r="H161" s="8"/>
      <c r="I161" s="8"/>
      <c r="J161" s="8"/>
      <c r="K161" s="8"/>
      <c r="L161" s="10"/>
      <c r="M161" s="8"/>
      <c r="N161" s="8"/>
      <c r="O161" s="11"/>
      <c r="P161" s="8"/>
      <c r="Q161" s="8"/>
      <c r="R161" s="8"/>
      <c r="S161" s="6" t="str">
        <f>IF($C161="","",IFERROR(INDEX(Lists!$B$5:$B$16,MATCH(J161,Lists!$A$5:$A$16,0)),0)+IFERROR(INDEX(Lists!$E$5:$E$8,MATCH(K161,Lists!$D$5:$D$8,0)),0)+IFERROR(INDEX(Lists!$H$5:$H$11,MATCH(M161,Lists!$G$5:$G$11,0)),0)+IFERROR(INDEX(Lists!$K$5:$K$9,MATCH(P161,Lists!$J$5:$J$9,0)),0))</f>
        <v/>
      </c>
      <c r="T161" s="6" t="str">
        <f t="shared" si="5"/>
        <v/>
      </c>
      <c r="U161" s="11"/>
      <c r="V161" s="7"/>
      <c r="W161" s="8"/>
      <c r="X161" s="11"/>
    </row>
    <row r="162" spans="1:24" x14ac:dyDescent="0.25">
      <c r="A162" s="6" t="str">
        <f t="shared" si="4"/>
        <v/>
      </c>
      <c r="B162" s="7"/>
      <c r="C162" s="8"/>
      <c r="D162" s="8"/>
      <c r="E162" s="8"/>
      <c r="F162" s="9"/>
      <c r="G162" s="8"/>
      <c r="H162" s="8"/>
      <c r="I162" s="8"/>
      <c r="J162" s="8"/>
      <c r="K162" s="8"/>
      <c r="L162" s="10"/>
      <c r="M162" s="8"/>
      <c r="N162" s="8"/>
      <c r="O162" s="11"/>
      <c r="P162" s="8"/>
      <c r="Q162" s="8"/>
      <c r="R162" s="8"/>
      <c r="S162" s="6" t="str">
        <f>IF($C162="","",IFERROR(INDEX(Lists!$B$5:$B$16,MATCH(J162,Lists!$A$5:$A$16,0)),0)+IFERROR(INDEX(Lists!$E$5:$E$8,MATCH(K162,Lists!$D$5:$D$8,0)),0)+IFERROR(INDEX(Lists!$H$5:$H$11,MATCH(M162,Lists!$G$5:$G$11,0)),0)+IFERROR(INDEX(Lists!$K$5:$K$9,MATCH(P162,Lists!$J$5:$J$9,0)),0))</f>
        <v/>
      </c>
      <c r="T162" s="6" t="str">
        <f t="shared" si="5"/>
        <v/>
      </c>
      <c r="U162" s="11"/>
      <c r="V162" s="7"/>
      <c r="W162" s="8"/>
      <c r="X162" s="11"/>
    </row>
    <row r="163" spans="1:24" x14ac:dyDescent="0.25">
      <c r="A163" s="6" t="str">
        <f t="shared" si="4"/>
        <v/>
      </c>
      <c r="B163" s="7"/>
      <c r="C163" s="8"/>
      <c r="D163" s="8"/>
      <c r="E163" s="8"/>
      <c r="F163" s="9"/>
      <c r="G163" s="8"/>
      <c r="H163" s="8"/>
      <c r="I163" s="8"/>
      <c r="J163" s="8"/>
      <c r="K163" s="8"/>
      <c r="L163" s="10"/>
      <c r="M163" s="8"/>
      <c r="N163" s="8"/>
      <c r="O163" s="11"/>
      <c r="P163" s="8"/>
      <c r="Q163" s="8"/>
      <c r="R163" s="8"/>
      <c r="S163" s="6" t="str">
        <f>IF($C163="","",IFERROR(INDEX(Lists!$B$5:$B$16,MATCH(J163,Lists!$A$5:$A$16,0)),0)+IFERROR(INDEX(Lists!$E$5:$E$8,MATCH(K163,Lists!$D$5:$D$8,0)),0)+IFERROR(INDEX(Lists!$H$5:$H$11,MATCH(M163,Lists!$G$5:$G$11,0)),0)+IFERROR(INDEX(Lists!$K$5:$K$9,MATCH(P163,Lists!$J$5:$J$9,0)),0))</f>
        <v/>
      </c>
      <c r="T163" s="6" t="str">
        <f t="shared" si="5"/>
        <v/>
      </c>
      <c r="U163" s="11"/>
      <c r="V163" s="7"/>
      <c r="W163" s="8"/>
      <c r="X163" s="11"/>
    </row>
    <row r="164" spans="1:24" x14ac:dyDescent="0.25">
      <c r="A164" s="6" t="str">
        <f t="shared" si="4"/>
        <v/>
      </c>
      <c r="B164" s="7"/>
      <c r="C164" s="8"/>
      <c r="D164" s="8"/>
      <c r="E164" s="8"/>
      <c r="F164" s="9"/>
      <c r="G164" s="8"/>
      <c r="H164" s="8"/>
      <c r="I164" s="8"/>
      <c r="J164" s="8"/>
      <c r="K164" s="8"/>
      <c r="L164" s="10"/>
      <c r="M164" s="8"/>
      <c r="N164" s="8"/>
      <c r="O164" s="11"/>
      <c r="P164" s="8"/>
      <c r="Q164" s="8"/>
      <c r="R164" s="8"/>
      <c r="S164" s="6" t="str">
        <f>IF($C164="","",IFERROR(INDEX(Lists!$B$5:$B$16,MATCH(J164,Lists!$A$5:$A$16,0)),0)+IFERROR(INDEX(Lists!$E$5:$E$8,MATCH(K164,Lists!$D$5:$D$8,0)),0)+IFERROR(INDEX(Lists!$H$5:$H$11,MATCH(M164,Lists!$G$5:$G$11,0)),0)+IFERROR(INDEX(Lists!$K$5:$K$9,MATCH(P164,Lists!$J$5:$J$9,0)),0))</f>
        <v/>
      </c>
      <c r="T164" s="6" t="str">
        <f t="shared" si="5"/>
        <v/>
      </c>
      <c r="U164" s="11"/>
      <c r="V164" s="7"/>
      <c r="W164" s="8"/>
      <c r="X164" s="11"/>
    </row>
    <row r="165" spans="1:24" x14ac:dyDescent="0.25">
      <c r="A165" s="6" t="str">
        <f t="shared" si="4"/>
        <v/>
      </c>
      <c r="B165" s="7"/>
      <c r="C165" s="8"/>
      <c r="D165" s="8"/>
      <c r="E165" s="8"/>
      <c r="F165" s="9"/>
      <c r="G165" s="8"/>
      <c r="H165" s="8"/>
      <c r="I165" s="8"/>
      <c r="J165" s="8"/>
      <c r="K165" s="8"/>
      <c r="L165" s="10"/>
      <c r="M165" s="8"/>
      <c r="N165" s="8"/>
      <c r="O165" s="11"/>
      <c r="P165" s="8"/>
      <c r="Q165" s="8"/>
      <c r="R165" s="8"/>
      <c r="S165" s="6" t="str">
        <f>IF($C165="","",IFERROR(INDEX(Lists!$B$5:$B$16,MATCH(J165,Lists!$A$5:$A$16,0)),0)+IFERROR(INDEX(Lists!$E$5:$E$8,MATCH(K165,Lists!$D$5:$D$8,0)),0)+IFERROR(INDEX(Lists!$H$5:$H$11,MATCH(M165,Lists!$G$5:$G$11,0)),0)+IFERROR(INDEX(Lists!$K$5:$K$9,MATCH(P165,Lists!$J$5:$J$9,0)),0))</f>
        <v/>
      </c>
      <c r="T165" s="6" t="str">
        <f t="shared" si="5"/>
        <v/>
      </c>
      <c r="U165" s="11"/>
      <c r="V165" s="7"/>
      <c r="W165" s="8"/>
      <c r="X165" s="11"/>
    </row>
    <row r="166" spans="1:24" x14ac:dyDescent="0.25">
      <c r="A166" s="6" t="str">
        <f t="shared" si="4"/>
        <v/>
      </c>
      <c r="B166" s="7"/>
      <c r="C166" s="8"/>
      <c r="D166" s="8"/>
      <c r="E166" s="8"/>
      <c r="F166" s="9"/>
      <c r="G166" s="8"/>
      <c r="H166" s="8"/>
      <c r="I166" s="8"/>
      <c r="J166" s="8"/>
      <c r="K166" s="8"/>
      <c r="L166" s="10"/>
      <c r="M166" s="8"/>
      <c r="N166" s="8"/>
      <c r="O166" s="11"/>
      <c r="P166" s="8"/>
      <c r="Q166" s="8"/>
      <c r="R166" s="8"/>
      <c r="S166" s="6" t="str">
        <f>IF($C166="","",IFERROR(INDEX(Lists!$B$5:$B$16,MATCH(J166,Lists!$A$5:$A$16,0)),0)+IFERROR(INDEX(Lists!$E$5:$E$8,MATCH(K166,Lists!$D$5:$D$8,0)),0)+IFERROR(INDEX(Lists!$H$5:$H$11,MATCH(M166,Lists!$G$5:$G$11,0)),0)+IFERROR(INDEX(Lists!$K$5:$K$9,MATCH(P166,Lists!$J$5:$J$9,0)),0))</f>
        <v/>
      </c>
      <c r="T166" s="6" t="str">
        <f t="shared" si="5"/>
        <v/>
      </c>
      <c r="U166" s="11"/>
      <c r="V166" s="7"/>
      <c r="W166" s="8"/>
      <c r="X166" s="11"/>
    </row>
    <row r="167" spans="1:24" x14ac:dyDescent="0.25">
      <c r="A167" s="6" t="str">
        <f t="shared" si="4"/>
        <v/>
      </c>
      <c r="B167" s="7"/>
      <c r="C167" s="8"/>
      <c r="D167" s="8"/>
      <c r="E167" s="8"/>
      <c r="F167" s="9"/>
      <c r="G167" s="8"/>
      <c r="H167" s="8"/>
      <c r="I167" s="8"/>
      <c r="J167" s="8"/>
      <c r="K167" s="8"/>
      <c r="L167" s="10"/>
      <c r="M167" s="8"/>
      <c r="N167" s="8"/>
      <c r="O167" s="11"/>
      <c r="P167" s="8"/>
      <c r="Q167" s="8"/>
      <c r="R167" s="8"/>
      <c r="S167" s="6" t="str">
        <f>IF($C167="","",IFERROR(INDEX(Lists!$B$5:$B$16,MATCH(J167,Lists!$A$5:$A$16,0)),0)+IFERROR(INDEX(Lists!$E$5:$E$8,MATCH(K167,Lists!$D$5:$D$8,0)),0)+IFERROR(INDEX(Lists!$H$5:$H$11,MATCH(M167,Lists!$G$5:$G$11,0)),0)+IFERROR(INDEX(Lists!$K$5:$K$9,MATCH(P167,Lists!$J$5:$J$9,0)),0))</f>
        <v/>
      </c>
      <c r="T167" s="6" t="str">
        <f t="shared" si="5"/>
        <v/>
      </c>
      <c r="U167" s="11"/>
      <c r="V167" s="7"/>
      <c r="W167" s="8"/>
      <c r="X167" s="11"/>
    </row>
    <row r="168" spans="1:24" x14ac:dyDescent="0.25">
      <c r="A168" s="6" t="str">
        <f t="shared" si="4"/>
        <v/>
      </c>
      <c r="B168" s="7"/>
      <c r="C168" s="8"/>
      <c r="D168" s="8"/>
      <c r="E168" s="8"/>
      <c r="F168" s="9"/>
      <c r="G168" s="8"/>
      <c r="H168" s="8"/>
      <c r="I168" s="8"/>
      <c r="J168" s="8"/>
      <c r="K168" s="8"/>
      <c r="L168" s="10"/>
      <c r="M168" s="8"/>
      <c r="N168" s="8"/>
      <c r="O168" s="11"/>
      <c r="P168" s="8"/>
      <c r="Q168" s="8"/>
      <c r="R168" s="8"/>
      <c r="S168" s="6" t="str">
        <f>IF($C168="","",IFERROR(INDEX(Lists!$B$5:$B$16,MATCH(J168,Lists!$A$5:$A$16,0)),0)+IFERROR(INDEX(Lists!$E$5:$E$8,MATCH(K168,Lists!$D$5:$D$8,0)),0)+IFERROR(INDEX(Lists!$H$5:$H$11,MATCH(M168,Lists!$G$5:$G$11,0)),0)+IFERROR(INDEX(Lists!$K$5:$K$9,MATCH(P168,Lists!$J$5:$J$9,0)),0))</f>
        <v/>
      </c>
      <c r="T168" s="6" t="str">
        <f t="shared" si="5"/>
        <v/>
      </c>
      <c r="U168" s="11"/>
      <c r="V168" s="7"/>
      <c r="W168" s="8"/>
      <c r="X168" s="11"/>
    </row>
    <row r="169" spans="1:24" x14ac:dyDescent="0.25">
      <c r="A169" s="6" t="str">
        <f t="shared" si="4"/>
        <v/>
      </c>
      <c r="B169" s="7"/>
      <c r="C169" s="8"/>
      <c r="D169" s="8"/>
      <c r="E169" s="8"/>
      <c r="F169" s="9"/>
      <c r="G169" s="8"/>
      <c r="H169" s="8"/>
      <c r="I169" s="8"/>
      <c r="J169" s="8"/>
      <c r="K169" s="8"/>
      <c r="L169" s="10"/>
      <c r="M169" s="8"/>
      <c r="N169" s="8"/>
      <c r="O169" s="11"/>
      <c r="P169" s="8"/>
      <c r="Q169" s="8"/>
      <c r="R169" s="8"/>
      <c r="S169" s="6" t="str">
        <f>IF($C169="","",IFERROR(INDEX(Lists!$B$5:$B$16,MATCH(J169,Lists!$A$5:$A$16,0)),0)+IFERROR(INDEX(Lists!$E$5:$E$8,MATCH(K169,Lists!$D$5:$D$8,0)),0)+IFERROR(INDEX(Lists!$H$5:$H$11,MATCH(M169,Lists!$G$5:$G$11,0)),0)+IFERROR(INDEX(Lists!$K$5:$K$9,MATCH(P169,Lists!$J$5:$J$9,0)),0))</f>
        <v/>
      </c>
      <c r="T169" s="6" t="str">
        <f t="shared" si="5"/>
        <v/>
      </c>
      <c r="U169" s="11"/>
      <c r="V169" s="7"/>
      <c r="W169" s="8"/>
      <c r="X169" s="11"/>
    </row>
    <row r="170" spans="1:24" x14ac:dyDescent="0.25">
      <c r="A170" s="6" t="str">
        <f t="shared" si="4"/>
        <v/>
      </c>
      <c r="B170" s="7"/>
      <c r="C170" s="8"/>
      <c r="D170" s="8"/>
      <c r="E170" s="8"/>
      <c r="F170" s="9"/>
      <c r="G170" s="8"/>
      <c r="H170" s="8"/>
      <c r="I170" s="8"/>
      <c r="J170" s="8"/>
      <c r="K170" s="8"/>
      <c r="L170" s="10"/>
      <c r="M170" s="8"/>
      <c r="N170" s="8"/>
      <c r="O170" s="11"/>
      <c r="P170" s="8"/>
      <c r="Q170" s="8"/>
      <c r="R170" s="8"/>
      <c r="S170" s="6" t="str">
        <f>IF($C170="","",IFERROR(INDEX(Lists!$B$5:$B$16,MATCH(J170,Lists!$A$5:$A$16,0)),0)+IFERROR(INDEX(Lists!$E$5:$E$8,MATCH(K170,Lists!$D$5:$D$8,0)),0)+IFERROR(INDEX(Lists!$H$5:$H$11,MATCH(M170,Lists!$G$5:$G$11,0)),0)+IFERROR(INDEX(Lists!$K$5:$K$9,MATCH(P170,Lists!$J$5:$J$9,0)),0))</f>
        <v/>
      </c>
      <c r="T170" s="6" t="str">
        <f t="shared" si="5"/>
        <v/>
      </c>
      <c r="U170" s="11"/>
      <c r="V170" s="7"/>
      <c r="W170" s="8"/>
      <c r="X170" s="11"/>
    </row>
    <row r="171" spans="1:24" x14ac:dyDescent="0.25">
      <c r="A171" s="6" t="str">
        <f t="shared" si="4"/>
        <v/>
      </c>
      <c r="B171" s="7"/>
      <c r="C171" s="8"/>
      <c r="D171" s="8"/>
      <c r="E171" s="8"/>
      <c r="F171" s="9"/>
      <c r="G171" s="8"/>
      <c r="H171" s="8"/>
      <c r="I171" s="8"/>
      <c r="J171" s="8"/>
      <c r="K171" s="8"/>
      <c r="L171" s="10"/>
      <c r="M171" s="8"/>
      <c r="N171" s="8"/>
      <c r="O171" s="11"/>
      <c r="P171" s="8"/>
      <c r="Q171" s="8"/>
      <c r="R171" s="8"/>
      <c r="S171" s="6" t="str">
        <f>IF($C171="","",IFERROR(INDEX(Lists!$B$5:$B$16,MATCH(J171,Lists!$A$5:$A$16,0)),0)+IFERROR(INDEX(Lists!$E$5:$E$8,MATCH(K171,Lists!$D$5:$D$8,0)),0)+IFERROR(INDEX(Lists!$H$5:$H$11,MATCH(M171,Lists!$G$5:$G$11,0)),0)+IFERROR(INDEX(Lists!$K$5:$K$9,MATCH(P171,Lists!$J$5:$J$9,0)),0))</f>
        <v/>
      </c>
      <c r="T171" s="6" t="str">
        <f t="shared" si="5"/>
        <v/>
      </c>
      <c r="U171" s="11"/>
      <c r="V171" s="7"/>
      <c r="W171" s="8"/>
      <c r="X171" s="11"/>
    </row>
    <row r="172" spans="1:24" x14ac:dyDescent="0.25">
      <c r="A172" s="6" t="str">
        <f t="shared" si="4"/>
        <v/>
      </c>
      <c r="B172" s="7"/>
      <c r="C172" s="8"/>
      <c r="D172" s="8"/>
      <c r="E172" s="8"/>
      <c r="F172" s="9"/>
      <c r="G172" s="8"/>
      <c r="H172" s="8"/>
      <c r="I172" s="8"/>
      <c r="J172" s="8"/>
      <c r="K172" s="8"/>
      <c r="L172" s="10"/>
      <c r="M172" s="8"/>
      <c r="N172" s="8"/>
      <c r="O172" s="11"/>
      <c r="P172" s="8"/>
      <c r="Q172" s="8"/>
      <c r="R172" s="8"/>
      <c r="S172" s="6" t="str">
        <f>IF($C172="","",IFERROR(INDEX(Lists!$B$5:$B$16,MATCH(J172,Lists!$A$5:$A$16,0)),0)+IFERROR(INDEX(Lists!$E$5:$E$8,MATCH(K172,Lists!$D$5:$D$8,0)),0)+IFERROR(INDEX(Lists!$H$5:$H$11,MATCH(M172,Lists!$G$5:$G$11,0)),0)+IFERROR(INDEX(Lists!$K$5:$K$9,MATCH(P172,Lists!$J$5:$J$9,0)),0))</f>
        <v/>
      </c>
      <c r="T172" s="6" t="str">
        <f t="shared" si="5"/>
        <v/>
      </c>
      <c r="U172" s="11"/>
      <c r="V172" s="7"/>
      <c r="W172" s="8"/>
      <c r="X172" s="11"/>
    </row>
    <row r="173" spans="1:24" x14ac:dyDescent="0.25">
      <c r="A173" s="6" t="str">
        <f t="shared" si="4"/>
        <v/>
      </c>
      <c r="B173" s="7"/>
      <c r="C173" s="8"/>
      <c r="D173" s="8"/>
      <c r="E173" s="8"/>
      <c r="F173" s="9"/>
      <c r="G173" s="8"/>
      <c r="H173" s="8"/>
      <c r="I173" s="8"/>
      <c r="J173" s="8"/>
      <c r="K173" s="8"/>
      <c r="L173" s="10"/>
      <c r="M173" s="8"/>
      <c r="N173" s="8"/>
      <c r="O173" s="11"/>
      <c r="P173" s="8"/>
      <c r="Q173" s="8"/>
      <c r="R173" s="8"/>
      <c r="S173" s="6" t="str">
        <f>IF($C173="","",IFERROR(INDEX(Lists!$B$5:$B$16,MATCH(J173,Lists!$A$5:$A$16,0)),0)+IFERROR(INDEX(Lists!$E$5:$E$8,MATCH(K173,Lists!$D$5:$D$8,0)),0)+IFERROR(INDEX(Lists!$H$5:$H$11,MATCH(M173,Lists!$G$5:$G$11,0)),0)+IFERROR(INDEX(Lists!$K$5:$K$9,MATCH(P173,Lists!$J$5:$J$9,0)),0))</f>
        <v/>
      </c>
      <c r="T173" s="6" t="str">
        <f t="shared" si="5"/>
        <v/>
      </c>
      <c r="U173" s="11"/>
      <c r="V173" s="7"/>
      <c r="W173" s="8"/>
      <c r="X173" s="11"/>
    </row>
    <row r="174" spans="1:24" x14ac:dyDescent="0.25">
      <c r="A174" s="6" t="str">
        <f t="shared" si="4"/>
        <v/>
      </c>
      <c r="B174" s="7"/>
      <c r="C174" s="8"/>
      <c r="D174" s="8"/>
      <c r="E174" s="8"/>
      <c r="F174" s="9"/>
      <c r="G174" s="8"/>
      <c r="H174" s="8"/>
      <c r="I174" s="8"/>
      <c r="J174" s="8"/>
      <c r="K174" s="8"/>
      <c r="L174" s="10"/>
      <c r="M174" s="8"/>
      <c r="N174" s="8"/>
      <c r="O174" s="11"/>
      <c r="P174" s="8"/>
      <c r="Q174" s="8"/>
      <c r="R174" s="8"/>
      <c r="S174" s="6" t="str">
        <f>IF($C174="","",IFERROR(INDEX(Lists!$B$5:$B$16,MATCH(J174,Lists!$A$5:$A$16,0)),0)+IFERROR(INDEX(Lists!$E$5:$E$8,MATCH(K174,Lists!$D$5:$D$8,0)),0)+IFERROR(INDEX(Lists!$H$5:$H$11,MATCH(M174,Lists!$G$5:$G$11,0)),0)+IFERROR(INDEX(Lists!$K$5:$K$9,MATCH(P174,Lists!$J$5:$J$9,0)),0))</f>
        <v/>
      </c>
      <c r="T174" s="6" t="str">
        <f t="shared" si="5"/>
        <v/>
      </c>
      <c r="U174" s="11"/>
      <c r="V174" s="7"/>
      <c r="W174" s="8"/>
      <c r="X174" s="11"/>
    </row>
    <row r="175" spans="1:24" x14ac:dyDescent="0.25">
      <c r="A175" s="6" t="str">
        <f t="shared" si="4"/>
        <v/>
      </c>
      <c r="B175" s="7"/>
      <c r="C175" s="8"/>
      <c r="D175" s="8"/>
      <c r="E175" s="8"/>
      <c r="F175" s="9"/>
      <c r="G175" s="8"/>
      <c r="H175" s="8"/>
      <c r="I175" s="8"/>
      <c r="J175" s="8"/>
      <c r="K175" s="8"/>
      <c r="L175" s="10"/>
      <c r="M175" s="8"/>
      <c r="N175" s="8"/>
      <c r="O175" s="11"/>
      <c r="P175" s="8"/>
      <c r="Q175" s="8"/>
      <c r="R175" s="8"/>
      <c r="S175" s="6" t="str">
        <f>IF($C175="","",IFERROR(INDEX(Lists!$B$5:$B$16,MATCH(J175,Lists!$A$5:$A$16,0)),0)+IFERROR(INDEX(Lists!$E$5:$E$8,MATCH(K175,Lists!$D$5:$D$8,0)),0)+IFERROR(INDEX(Lists!$H$5:$H$11,MATCH(M175,Lists!$G$5:$G$11,0)),0)+IFERROR(INDEX(Lists!$K$5:$K$9,MATCH(P175,Lists!$J$5:$J$9,0)),0))</f>
        <v/>
      </c>
      <c r="T175" s="6" t="str">
        <f t="shared" si="5"/>
        <v/>
      </c>
      <c r="U175" s="11"/>
      <c r="V175" s="7"/>
      <c r="W175" s="8"/>
      <c r="X175" s="11"/>
    </row>
    <row r="176" spans="1:24" x14ac:dyDescent="0.25">
      <c r="A176" s="6" t="str">
        <f t="shared" si="4"/>
        <v/>
      </c>
      <c r="B176" s="7"/>
      <c r="C176" s="8"/>
      <c r="D176" s="8"/>
      <c r="E176" s="8"/>
      <c r="F176" s="9"/>
      <c r="G176" s="8"/>
      <c r="H176" s="8"/>
      <c r="I176" s="8"/>
      <c r="J176" s="8"/>
      <c r="K176" s="8"/>
      <c r="L176" s="10"/>
      <c r="M176" s="8"/>
      <c r="N176" s="8"/>
      <c r="O176" s="11"/>
      <c r="P176" s="8"/>
      <c r="Q176" s="8"/>
      <c r="R176" s="8"/>
      <c r="S176" s="6" t="str">
        <f>IF($C176="","",IFERROR(INDEX(Lists!$B$5:$B$16,MATCH(J176,Lists!$A$5:$A$16,0)),0)+IFERROR(INDEX(Lists!$E$5:$E$8,MATCH(K176,Lists!$D$5:$D$8,0)),0)+IFERROR(INDEX(Lists!$H$5:$H$11,MATCH(M176,Lists!$G$5:$G$11,0)),0)+IFERROR(INDEX(Lists!$K$5:$K$9,MATCH(P176,Lists!$J$5:$J$9,0)),0))</f>
        <v/>
      </c>
      <c r="T176" s="6" t="str">
        <f t="shared" si="5"/>
        <v/>
      </c>
      <c r="U176" s="11"/>
      <c r="V176" s="7"/>
      <c r="W176" s="8"/>
      <c r="X176" s="11"/>
    </row>
    <row r="177" spans="1:24" x14ac:dyDescent="0.25">
      <c r="A177" s="6" t="str">
        <f t="shared" si="4"/>
        <v/>
      </c>
      <c r="B177" s="7"/>
      <c r="C177" s="8"/>
      <c r="D177" s="8"/>
      <c r="E177" s="8"/>
      <c r="F177" s="9"/>
      <c r="G177" s="8"/>
      <c r="H177" s="8"/>
      <c r="I177" s="8"/>
      <c r="J177" s="8"/>
      <c r="K177" s="8"/>
      <c r="L177" s="10"/>
      <c r="M177" s="8"/>
      <c r="N177" s="8"/>
      <c r="O177" s="11"/>
      <c r="P177" s="8"/>
      <c r="Q177" s="8"/>
      <c r="R177" s="8"/>
      <c r="S177" s="6" t="str">
        <f>IF($C177="","",IFERROR(INDEX(Lists!$B$5:$B$16,MATCH(J177,Lists!$A$5:$A$16,0)),0)+IFERROR(INDEX(Lists!$E$5:$E$8,MATCH(K177,Lists!$D$5:$D$8,0)),0)+IFERROR(INDEX(Lists!$H$5:$H$11,MATCH(M177,Lists!$G$5:$G$11,0)),0)+IFERROR(INDEX(Lists!$K$5:$K$9,MATCH(P177,Lists!$J$5:$J$9,0)),0))</f>
        <v/>
      </c>
      <c r="T177" s="6" t="str">
        <f t="shared" si="5"/>
        <v/>
      </c>
      <c r="U177" s="11"/>
      <c r="V177" s="7"/>
      <c r="W177" s="8"/>
      <c r="X177" s="11"/>
    </row>
    <row r="178" spans="1:24" x14ac:dyDescent="0.25">
      <c r="A178" s="6" t="str">
        <f t="shared" si="4"/>
        <v/>
      </c>
      <c r="B178" s="7"/>
      <c r="C178" s="8"/>
      <c r="D178" s="8"/>
      <c r="E178" s="8"/>
      <c r="F178" s="9"/>
      <c r="G178" s="8"/>
      <c r="H178" s="8"/>
      <c r="I178" s="8"/>
      <c r="J178" s="8"/>
      <c r="K178" s="8"/>
      <c r="L178" s="10"/>
      <c r="M178" s="8"/>
      <c r="N178" s="8"/>
      <c r="O178" s="11"/>
      <c r="P178" s="8"/>
      <c r="Q178" s="8"/>
      <c r="R178" s="8"/>
      <c r="S178" s="6" t="str">
        <f>IF($C178="","",IFERROR(INDEX(Lists!$B$5:$B$16,MATCH(J178,Lists!$A$5:$A$16,0)),0)+IFERROR(INDEX(Lists!$E$5:$E$8,MATCH(K178,Lists!$D$5:$D$8,0)),0)+IFERROR(INDEX(Lists!$H$5:$H$11,MATCH(M178,Lists!$G$5:$G$11,0)),0)+IFERROR(INDEX(Lists!$K$5:$K$9,MATCH(P178,Lists!$J$5:$J$9,0)),0))</f>
        <v/>
      </c>
      <c r="T178" s="6" t="str">
        <f t="shared" si="5"/>
        <v/>
      </c>
      <c r="U178" s="11"/>
      <c r="V178" s="7"/>
      <c r="W178" s="8"/>
      <c r="X178" s="11"/>
    </row>
    <row r="179" spans="1:24" x14ac:dyDescent="0.25">
      <c r="A179" s="6" t="str">
        <f t="shared" si="4"/>
        <v/>
      </c>
      <c r="B179" s="7"/>
      <c r="C179" s="8"/>
      <c r="D179" s="8"/>
      <c r="E179" s="8"/>
      <c r="F179" s="9"/>
      <c r="G179" s="8"/>
      <c r="H179" s="8"/>
      <c r="I179" s="8"/>
      <c r="J179" s="8"/>
      <c r="K179" s="8"/>
      <c r="L179" s="10"/>
      <c r="M179" s="8"/>
      <c r="N179" s="8"/>
      <c r="O179" s="11"/>
      <c r="P179" s="8"/>
      <c r="Q179" s="8"/>
      <c r="R179" s="8"/>
      <c r="S179" s="6" t="str">
        <f>IF($C179="","",IFERROR(INDEX(Lists!$B$5:$B$16,MATCH(J179,Lists!$A$5:$A$16,0)),0)+IFERROR(INDEX(Lists!$E$5:$E$8,MATCH(K179,Lists!$D$5:$D$8,0)),0)+IFERROR(INDEX(Lists!$H$5:$H$11,MATCH(M179,Lists!$G$5:$G$11,0)),0)+IFERROR(INDEX(Lists!$K$5:$K$9,MATCH(P179,Lists!$J$5:$J$9,0)),0))</f>
        <v/>
      </c>
      <c r="T179" s="6" t="str">
        <f t="shared" si="5"/>
        <v/>
      </c>
      <c r="U179" s="11"/>
      <c r="V179" s="7"/>
      <c r="W179" s="8"/>
      <c r="X179" s="11"/>
    </row>
    <row r="180" spans="1:24" x14ac:dyDescent="0.25">
      <c r="A180" s="6" t="str">
        <f t="shared" si="4"/>
        <v/>
      </c>
      <c r="B180" s="7"/>
      <c r="C180" s="8"/>
      <c r="D180" s="8"/>
      <c r="E180" s="8"/>
      <c r="F180" s="9"/>
      <c r="G180" s="8"/>
      <c r="H180" s="8"/>
      <c r="I180" s="8"/>
      <c r="J180" s="8"/>
      <c r="K180" s="8"/>
      <c r="L180" s="10"/>
      <c r="M180" s="8"/>
      <c r="N180" s="8"/>
      <c r="O180" s="11"/>
      <c r="P180" s="8"/>
      <c r="Q180" s="8"/>
      <c r="R180" s="8"/>
      <c r="S180" s="6" t="str">
        <f>IF($C180="","",IFERROR(INDEX(Lists!$B$5:$B$16,MATCH(J180,Lists!$A$5:$A$16,0)),0)+IFERROR(INDEX(Lists!$E$5:$E$8,MATCH(K180,Lists!$D$5:$D$8,0)),0)+IFERROR(INDEX(Lists!$H$5:$H$11,MATCH(M180,Lists!$G$5:$G$11,0)),0)+IFERROR(INDEX(Lists!$K$5:$K$9,MATCH(P180,Lists!$J$5:$J$9,0)),0))</f>
        <v/>
      </c>
      <c r="T180" s="6" t="str">
        <f t="shared" si="5"/>
        <v/>
      </c>
      <c r="U180" s="11"/>
      <c r="V180" s="7"/>
      <c r="W180" s="8"/>
      <c r="X180" s="11"/>
    </row>
    <row r="181" spans="1:24" x14ac:dyDescent="0.25">
      <c r="A181" s="6" t="str">
        <f t="shared" si="4"/>
        <v/>
      </c>
      <c r="B181" s="7"/>
      <c r="C181" s="8"/>
      <c r="D181" s="8"/>
      <c r="E181" s="8"/>
      <c r="F181" s="9"/>
      <c r="G181" s="8"/>
      <c r="H181" s="8"/>
      <c r="I181" s="8"/>
      <c r="J181" s="8"/>
      <c r="K181" s="8"/>
      <c r="L181" s="10"/>
      <c r="M181" s="8"/>
      <c r="N181" s="8"/>
      <c r="O181" s="11"/>
      <c r="P181" s="8"/>
      <c r="Q181" s="8"/>
      <c r="R181" s="8"/>
      <c r="S181" s="6" t="str">
        <f>IF($C181="","",IFERROR(INDEX(Lists!$B$5:$B$16,MATCH(J181,Lists!$A$5:$A$16,0)),0)+IFERROR(INDEX(Lists!$E$5:$E$8,MATCH(K181,Lists!$D$5:$D$8,0)),0)+IFERROR(INDEX(Lists!$H$5:$H$11,MATCH(M181,Lists!$G$5:$G$11,0)),0)+IFERROR(INDEX(Lists!$K$5:$K$9,MATCH(P181,Lists!$J$5:$J$9,0)),0))</f>
        <v/>
      </c>
      <c r="T181" s="6" t="str">
        <f t="shared" si="5"/>
        <v/>
      </c>
      <c r="U181" s="11"/>
      <c r="V181" s="7"/>
      <c r="W181" s="8"/>
      <c r="X181" s="11"/>
    </row>
    <row r="182" spans="1:24" x14ac:dyDescent="0.25">
      <c r="A182" s="6" t="str">
        <f t="shared" si="4"/>
        <v/>
      </c>
      <c r="B182" s="7"/>
      <c r="C182" s="8"/>
      <c r="D182" s="8"/>
      <c r="E182" s="8"/>
      <c r="F182" s="9"/>
      <c r="G182" s="8"/>
      <c r="H182" s="8"/>
      <c r="I182" s="8"/>
      <c r="J182" s="8"/>
      <c r="K182" s="8"/>
      <c r="L182" s="10"/>
      <c r="M182" s="8"/>
      <c r="N182" s="8"/>
      <c r="O182" s="11"/>
      <c r="P182" s="8"/>
      <c r="Q182" s="8"/>
      <c r="R182" s="8"/>
      <c r="S182" s="6" t="str">
        <f>IF($C182="","",IFERROR(INDEX(Lists!$B$5:$B$16,MATCH(J182,Lists!$A$5:$A$16,0)),0)+IFERROR(INDEX(Lists!$E$5:$E$8,MATCH(K182,Lists!$D$5:$D$8,0)),0)+IFERROR(INDEX(Lists!$H$5:$H$11,MATCH(M182,Lists!$G$5:$G$11,0)),0)+IFERROR(INDEX(Lists!$K$5:$K$9,MATCH(P182,Lists!$J$5:$J$9,0)),0))</f>
        <v/>
      </c>
      <c r="T182" s="6" t="str">
        <f t="shared" si="5"/>
        <v/>
      </c>
      <c r="U182" s="11"/>
      <c r="V182" s="7"/>
      <c r="W182" s="8"/>
      <c r="X182" s="11"/>
    </row>
    <row r="183" spans="1:24" x14ac:dyDescent="0.25">
      <c r="A183" s="6" t="str">
        <f t="shared" si="4"/>
        <v/>
      </c>
      <c r="B183" s="7"/>
      <c r="C183" s="8"/>
      <c r="D183" s="8"/>
      <c r="E183" s="8"/>
      <c r="F183" s="9"/>
      <c r="G183" s="8"/>
      <c r="H183" s="8"/>
      <c r="I183" s="8"/>
      <c r="J183" s="8"/>
      <c r="K183" s="8"/>
      <c r="L183" s="10"/>
      <c r="M183" s="8"/>
      <c r="N183" s="8"/>
      <c r="O183" s="11"/>
      <c r="P183" s="8"/>
      <c r="Q183" s="8"/>
      <c r="R183" s="8"/>
      <c r="S183" s="6" t="str">
        <f>IF($C183="","",IFERROR(INDEX(Lists!$B$5:$B$16,MATCH(J183,Lists!$A$5:$A$16,0)),0)+IFERROR(INDEX(Lists!$E$5:$E$8,MATCH(K183,Lists!$D$5:$D$8,0)),0)+IFERROR(INDEX(Lists!$H$5:$H$11,MATCH(M183,Lists!$G$5:$G$11,0)),0)+IFERROR(INDEX(Lists!$K$5:$K$9,MATCH(P183,Lists!$J$5:$J$9,0)),0))</f>
        <v/>
      </c>
      <c r="T183" s="6" t="str">
        <f t="shared" si="5"/>
        <v/>
      </c>
      <c r="U183" s="11"/>
      <c r="V183" s="7"/>
      <c r="W183" s="8"/>
      <c r="X183" s="11"/>
    </row>
    <row r="184" spans="1:24" x14ac:dyDescent="0.25">
      <c r="A184" s="6" t="str">
        <f t="shared" si="4"/>
        <v/>
      </c>
      <c r="B184" s="7"/>
      <c r="C184" s="8"/>
      <c r="D184" s="8"/>
      <c r="E184" s="8"/>
      <c r="F184" s="9"/>
      <c r="G184" s="8"/>
      <c r="H184" s="8"/>
      <c r="I184" s="8"/>
      <c r="J184" s="8"/>
      <c r="K184" s="8"/>
      <c r="L184" s="10"/>
      <c r="M184" s="8"/>
      <c r="N184" s="8"/>
      <c r="O184" s="11"/>
      <c r="P184" s="8"/>
      <c r="Q184" s="8"/>
      <c r="R184" s="8"/>
      <c r="S184" s="6" t="str">
        <f>IF($C184="","",IFERROR(INDEX(Lists!$B$5:$B$16,MATCH(J184,Lists!$A$5:$A$16,0)),0)+IFERROR(INDEX(Lists!$E$5:$E$8,MATCH(K184,Lists!$D$5:$D$8,0)),0)+IFERROR(INDEX(Lists!$H$5:$H$11,MATCH(M184,Lists!$G$5:$G$11,0)),0)+IFERROR(INDEX(Lists!$K$5:$K$9,MATCH(P184,Lists!$J$5:$J$9,0)),0))</f>
        <v/>
      </c>
      <c r="T184" s="6" t="str">
        <f t="shared" si="5"/>
        <v/>
      </c>
      <c r="U184" s="11"/>
      <c r="V184" s="7"/>
      <c r="W184" s="8"/>
      <c r="X184" s="11"/>
    </row>
    <row r="185" spans="1:24" x14ac:dyDescent="0.25">
      <c r="A185" s="6" t="str">
        <f t="shared" si="4"/>
        <v/>
      </c>
      <c r="B185" s="7"/>
      <c r="C185" s="8"/>
      <c r="D185" s="8"/>
      <c r="E185" s="8"/>
      <c r="F185" s="9"/>
      <c r="G185" s="8"/>
      <c r="H185" s="8"/>
      <c r="I185" s="8"/>
      <c r="J185" s="8"/>
      <c r="K185" s="8"/>
      <c r="L185" s="10"/>
      <c r="M185" s="8"/>
      <c r="N185" s="8"/>
      <c r="O185" s="11"/>
      <c r="P185" s="8"/>
      <c r="Q185" s="8"/>
      <c r="R185" s="8"/>
      <c r="S185" s="6" t="str">
        <f>IF($C185="","",IFERROR(INDEX(Lists!$B$5:$B$16,MATCH(J185,Lists!$A$5:$A$16,0)),0)+IFERROR(INDEX(Lists!$E$5:$E$8,MATCH(K185,Lists!$D$5:$D$8,0)),0)+IFERROR(INDEX(Lists!$H$5:$H$11,MATCH(M185,Lists!$G$5:$G$11,0)),0)+IFERROR(INDEX(Lists!$K$5:$K$9,MATCH(P185,Lists!$J$5:$J$9,0)),0))</f>
        <v/>
      </c>
      <c r="T185" s="6" t="str">
        <f t="shared" si="5"/>
        <v/>
      </c>
      <c r="U185" s="11"/>
      <c r="V185" s="7"/>
      <c r="W185" s="8"/>
      <c r="X185" s="11"/>
    </row>
    <row r="186" spans="1:24" x14ac:dyDescent="0.25">
      <c r="A186" s="6" t="str">
        <f t="shared" si="4"/>
        <v/>
      </c>
      <c r="B186" s="7"/>
      <c r="C186" s="8"/>
      <c r="D186" s="8"/>
      <c r="E186" s="8"/>
      <c r="F186" s="9"/>
      <c r="G186" s="8"/>
      <c r="H186" s="8"/>
      <c r="I186" s="8"/>
      <c r="J186" s="8"/>
      <c r="K186" s="8"/>
      <c r="L186" s="10"/>
      <c r="M186" s="8"/>
      <c r="N186" s="8"/>
      <c r="O186" s="11"/>
      <c r="P186" s="8"/>
      <c r="Q186" s="8"/>
      <c r="R186" s="8"/>
      <c r="S186" s="6" t="str">
        <f>IF($C186="","",IFERROR(INDEX(Lists!$B$5:$B$16,MATCH(J186,Lists!$A$5:$A$16,0)),0)+IFERROR(INDEX(Lists!$E$5:$E$8,MATCH(K186,Lists!$D$5:$D$8,0)),0)+IFERROR(INDEX(Lists!$H$5:$H$11,MATCH(M186,Lists!$G$5:$G$11,0)),0)+IFERROR(INDEX(Lists!$K$5:$K$9,MATCH(P186,Lists!$J$5:$J$9,0)),0))</f>
        <v/>
      </c>
      <c r="T186" s="6" t="str">
        <f t="shared" si="5"/>
        <v/>
      </c>
      <c r="U186" s="11"/>
      <c r="V186" s="7"/>
      <c r="W186" s="8"/>
      <c r="X186" s="11"/>
    </row>
    <row r="187" spans="1:24" x14ac:dyDescent="0.25">
      <c r="A187" s="6" t="str">
        <f t="shared" si="4"/>
        <v/>
      </c>
      <c r="B187" s="7"/>
      <c r="C187" s="8"/>
      <c r="D187" s="8"/>
      <c r="E187" s="8"/>
      <c r="F187" s="9"/>
      <c r="G187" s="8"/>
      <c r="H187" s="8"/>
      <c r="I187" s="8"/>
      <c r="J187" s="8"/>
      <c r="K187" s="8"/>
      <c r="L187" s="10"/>
      <c r="M187" s="8"/>
      <c r="N187" s="8"/>
      <c r="O187" s="11"/>
      <c r="P187" s="8"/>
      <c r="Q187" s="8"/>
      <c r="R187" s="8"/>
      <c r="S187" s="6" t="str">
        <f>IF($C187="","",IFERROR(INDEX(Lists!$B$5:$B$16,MATCH(J187,Lists!$A$5:$A$16,0)),0)+IFERROR(INDEX(Lists!$E$5:$E$8,MATCH(K187,Lists!$D$5:$D$8,0)),0)+IFERROR(INDEX(Lists!$H$5:$H$11,MATCH(M187,Lists!$G$5:$G$11,0)),0)+IFERROR(INDEX(Lists!$K$5:$K$9,MATCH(P187,Lists!$J$5:$J$9,0)),0))</f>
        <v/>
      </c>
      <c r="T187" s="6" t="str">
        <f t="shared" si="5"/>
        <v/>
      </c>
      <c r="U187" s="11"/>
      <c r="V187" s="7"/>
      <c r="W187" s="8"/>
      <c r="X187" s="11"/>
    </row>
    <row r="188" spans="1:24" x14ac:dyDescent="0.25">
      <c r="A188" s="6" t="str">
        <f t="shared" si="4"/>
        <v/>
      </c>
      <c r="B188" s="7"/>
      <c r="C188" s="8"/>
      <c r="D188" s="8"/>
      <c r="E188" s="8"/>
      <c r="F188" s="9"/>
      <c r="G188" s="8"/>
      <c r="H188" s="8"/>
      <c r="I188" s="8"/>
      <c r="J188" s="8"/>
      <c r="K188" s="8"/>
      <c r="L188" s="10"/>
      <c r="M188" s="8"/>
      <c r="N188" s="8"/>
      <c r="O188" s="11"/>
      <c r="P188" s="8"/>
      <c r="Q188" s="8"/>
      <c r="R188" s="8"/>
      <c r="S188" s="6" t="str">
        <f>IF($C188="","",IFERROR(INDEX(Lists!$B$5:$B$16,MATCH(J188,Lists!$A$5:$A$16,0)),0)+IFERROR(INDEX(Lists!$E$5:$E$8,MATCH(K188,Lists!$D$5:$D$8,0)),0)+IFERROR(INDEX(Lists!$H$5:$H$11,MATCH(M188,Lists!$G$5:$G$11,0)),0)+IFERROR(INDEX(Lists!$K$5:$K$9,MATCH(P188,Lists!$J$5:$J$9,0)),0))</f>
        <v/>
      </c>
      <c r="T188" s="6" t="str">
        <f t="shared" si="5"/>
        <v/>
      </c>
      <c r="U188" s="11"/>
      <c r="V188" s="7"/>
      <c r="W188" s="8"/>
      <c r="X188" s="11"/>
    </row>
    <row r="189" spans="1:24" x14ac:dyDescent="0.25">
      <c r="A189" s="6" t="str">
        <f t="shared" si="4"/>
        <v/>
      </c>
      <c r="B189" s="7"/>
      <c r="C189" s="8"/>
      <c r="D189" s="8"/>
      <c r="E189" s="8"/>
      <c r="F189" s="9"/>
      <c r="G189" s="8"/>
      <c r="H189" s="8"/>
      <c r="I189" s="8"/>
      <c r="J189" s="8"/>
      <c r="K189" s="8"/>
      <c r="L189" s="10"/>
      <c r="M189" s="8"/>
      <c r="N189" s="8"/>
      <c r="O189" s="11"/>
      <c r="P189" s="8"/>
      <c r="Q189" s="8"/>
      <c r="R189" s="8"/>
      <c r="S189" s="6" t="str">
        <f>IF($C189="","",IFERROR(INDEX(Lists!$B$5:$B$16,MATCH(J189,Lists!$A$5:$A$16,0)),0)+IFERROR(INDEX(Lists!$E$5:$E$8,MATCH(K189,Lists!$D$5:$D$8,0)),0)+IFERROR(INDEX(Lists!$H$5:$H$11,MATCH(M189,Lists!$G$5:$G$11,0)),0)+IFERROR(INDEX(Lists!$K$5:$K$9,MATCH(P189,Lists!$J$5:$J$9,0)),0))</f>
        <v/>
      </c>
      <c r="T189" s="6" t="str">
        <f t="shared" si="5"/>
        <v/>
      </c>
      <c r="U189" s="11"/>
      <c r="V189" s="7"/>
      <c r="W189" s="8"/>
      <c r="X189" s="11"/>
    </row>
    <row r="190" spans="1:24" x14ac:dyDescent="0.25">
      <c r="A190" s="6" t="str">
        <f t="shared" si="4"/>
        <v/>
      </c>
      <c r="B190" s="7"/>
      <c r="C190" s="8"/>
      <c r="D190" s="8"/>
      <c r="E190" s="8"/>
      <c r="F190" s="9"/>
      <c r="G190" s="8"/>
      <c r="H190" s="8"/>
      <c r="I190" s="8"/>
      <c r="J190" s="8"/>
      <c r="K190" s="8"/>
      <c r="L190" s="10"/>
      <c r="M190" s="8"/>
      <c r="N190" s="8"/>
      <c r="O190" s="11"/>
      <c r="P190" s="8"/>
      <c r="Q190" s="8"/>
      <c r="R190" s="8"/>
      <c r="S190" s="6" t="str">
        <f>IF($C190="","",IFERROR(INDEX(Lists!$B$5:$B$16,MATCH(J190,Lists!$A$5:$A$16,0)),0)+IFERROR(INDEX(Lists!$E$5:$E$8,MATCH(K190,Lists!$D$5:$D$8,0)),0)+IFERROR(INDEX(Lists!$H$5:$H$11,MATCH(M190,Lists!$G$5:$G$11,0)),0)+IFERROR(INDEX(Lists!$K$5:$K$9,MATCH(P190,Lists!$J$5:$J$9,0)),0))</f>
        <v/>
      </c>
      <c r="T190" s="6" t="str">
        <f t="shared" si="5"/>
        <v/>
      </c>
      <c r="U190" s="11"/>
      <c r="V190" s="7"/>
      <c r="W190" s="8"/>
      <c r="X190" s="11"/>
    </row>
    <row r="191" spans="1:24" x14ac:dyDescent="0.25">
      <c r="A191" s="6" t="str">
        <f t="shared" si="4"/>
        <v/>
      </c>
      <c r="B191" s="7"/>
      <c r="C191" s="8"/>
      <c r="D191" s="8"/>
      <c r="E191" s="8"/>
      <c r="F191" s="9"/>
      <c r="G191" s="8"/>
      <c r="H191" s="8"/>
      <c r="I191" s="8"/>
      <c r="J191" s="8"/>
      <c r="K191" s="8"/>
      <c r="L191" s="10"/>
      <c r="M191" s="8"/>
      <c r="N191" s="8"/>
      <c r="O191" s="11"/>
      <c r="P191" s="8"/>
      <c r="Q191" s="8"/>
      <c r="R191" s="8"/>
      <c r="S191" s="6" t="str">
        <f>IF($C191="","",IFERROR(INDEX(Lists!$B$5:$B$16,MATCH(J191,Lists!$A$5:$A$16,0)),0)+IFERROR(INDEX(Lists!$E$5:$E$8,MATCH(K191,Lists!$D$5:$D$8,0)),0)+IFERROR(INDEX(Lists!$H$5:$H$11,MATCH(M191,Lists!$G$5:$G$11,0)),0)+IFERROR(INDEX(Lists!$K$5:$K$9,MATCH(P191,Lists!$J$5:$J$9,0)),0))</f>
        <v/>
      </c>
      <c r="T191" s="6" t="str">
        <f t="shared" si="5"/>
        <v/>
      </c>
      <c r="U191" s="11"/>
      <c r="V191" s="7"/>
      <c r="W191" s="8"/>
      <c r="X191" s="11"/>
    </row>
    <row r="192" spans="1:24" x14ac:dyDescent="0.25">
      <c r="A192" s="6" t="str">
        <f t="shared" si="4"/>
        <v/>
      </c>
      <c r="B192" s="7"/>
      <c r="C192" s="8"/>
      <c r="D192" s="8"/>
      <c r="E192" s="8"/>
      <c r="F192" s="9"/>
      <c r="G192" s="8"/>
      <c r="H192" s="8"/>
      <c r="I192" s="8"/>
      <c r="J192" s="8"/>
      <c r="K192" s="8"/>
      <c r="L192" s="10"/>
      <c r="M192" s="8"/>
      <c r="N192" s="8"/>
      <c r="O192" s="11"/>
      <c r="P192" s="8"/>
      <c r="Q192" s="8"/>
      <c r="R192" s="8"/>
      <c r="S192" s="6" t="str">
        <f>IF($C192="","",IFERROR(INDEX(Lists!$B$5:$B$16,MATCH(J192,Lists!$A$5:$A$16,0)),0)+IFERROR(INDEX(Lists!$E$5:$E$8,MATCH(K192,Lists!$D$5:$D$8,0)),0)+IFERROR(INDEX(Lists!$H$5:$H$11,MATCH(M192,Lists!$G$5:$G$11,0)),0)+IFERROR(INDEX(Lists!$K$5:$K$9,MATCH(P192,Lists!$J$5:$J$9,0)),0))</f>
        <v/>
      </c>
      <c r="T192" s="6" t="str">
        <f t="shared" si="5"/>
        <v/>
      </c>
      <c r="U192" s="11"/>
      <c r="V192" s="7"/>
      <c r="W192" s="8"/>
      <c r="X192" s="11"/>
    </row>
    <row r="193" spans="1:24" x14ac:dyDescent="0.25">
      <c r="A193" s="6" t="str">
        <f t="shared" si="4"/>
        <v/>
      </c>
      <c r="B193" s="7"/>
      <c r="C193" s="8"/>
      <c r="D193" s="8"/>
      <c r="E193" s="8"/>
      <c r="F193" s="9"/>
      <c r="G193" s="8"/>
      <c r="H193" s="8"/>
      <c r="I193" s="8"/>
      <c r="J193" s="8"/>
      <c r="K193" s="8"/>
      <c r="L193" s="10"/>
      <c r="M193" s="8"/>
      <c r="N193" s="8"/>
      <c r="O193" s="11"/>
      <c r="P193" s="8"/>
      <c r="Q193" s="8"/>
      <c r="R193" s="8"/>
      <c r="S193" s="6" t="str">
        <f>IF($C193="","",IFERROR(INDEX(Lists!$B$5:$B$16,MATCH(J193,Lists!$A$5:$A$16,0)),0)+IFERROR(INDEX(Lists!$E$5:$E$8,MATCH(K193,Lists!$D$5:$D$8,0)),0)+IFERROR(INDEX(Lists!$H$5:$H$11,MATCH(M193,Lists!$G$5:$G$11,0)),0)+IFERROR(INDEX(Lists!$K$5:$K$9,MATCH(P193,Lists!$J$5:$J$9,0)),0))</f>
        <v/>
      </c>
      <c r="T193" s="6" t="str">
        <f t="shared" si="5"/>
        <v/>
      </c>
      <c r="U193" s="11"/>
      <c r="V193" s="7"/>
      <c r="W193" s="8"/>
      <c r="X193" s="11"/>
    </row>
    <row r="194" spans="1:24" x14ac:dyDescent="0.25">
      <c r="A194" s="6" t="str">
        <f t="shared" si="4"/>
        <v/>
      </c>
      <c r="B194" s="7"/>
      <c r="C194" s="8"/>
      <c r="D194" s="8"/>
      <c r="E194" s="8"/>
      <c r="F194" s="9"/>
      <c r="G194" s="8"/>
      <c r="H194" s="8"/>
      <c r="I194" s="8"/>
      <c r="J194" s="8"/>
      <c r="K194" s="8"/>
      <c r="L194" s="10"/>
      <c r="M194" s="8"/>
      <c r="N194" s="8"/>
      <c r="O194" s="11"/>
      <c r="P194" s="8"/>
      <c r="Q194" s="8"/>
      <c r="R194" s="8"/>
      <c r="S194" s="6" t="str">
        <f>IF($C194="","",IFERROR(INDEX(Lists!$B$5:$B$16,MATCH(J194,Lists!$A$5:$A$16,0)),0)+IFERROR(INDEX(Lists!$E$5:$E$8,MATCH(K194,Lists!$D$5:$D$8,0)),0)+IFERROR(INDEX(Lists!$H$5:$H$11,MATCH(M194,Lists!$G$5:$G$11,0)),0)+IFERROR(INDEX(Lists!$K$5:$K$9,MATCH(P194,Lists!$J$5:$J$9,0)),0))</f>
        <v/>
      </c>
      <c r="T194" s="6" t="str">
        <f t="shared" si="5"/>
        <v/>
      </c>
      <c r="U194" s="11"/>
      <c r="V194" s="7"/>
      <c r="W194" s="8"/>
      <c r="X194" s="11"/>
    </row>
    <row r="195" spans="1:24" x14ac:dyDescent="0.25">
      <c r="A195" s="6" t="str">
        <f t="shared" si="4"/>
        <v/>
      </c>
      <c r="B195" s="7"/>
      <c r="C195" s="8"/>
      <c r="D195" s="8"/>
      <c r="E195" s="8"/>
      <c r="F195" s="9"/>
      <c r="G195" s="8"/>
      <c r="H195" s="8"/>
      <c r="I195" s="8"/>
      <c r="J195" s="8"/>
      <c r="K195" s="8"/>
      <c r="L195" s="10"/>
      <c r="M195" s="8"/>
      <c r="N195" s="8"/>
      <c r="O195" s="11"/>
      <c r="P195" s="8"/>
      <c r="Q195" s="8"/>
      <c r="R195" s="8"/>
      <c r="S195" s="6" t="str">
        <f>IF($C195="","",IFERROR(INDEX(Lists!$B$5:$B$16,MATCH(J195,Lists!$A$5:$A$16,0)),0)+IFERROR(INDEX(Lists!$E$5:$E$8,MATCH(K195,Lists!$D$5:$D$8,0)),0)+IFERROR(INDEX(Lists!$H$5:$H$11,MATCH(M195,Lists!$G$5:$G$11,0)),0)+IFERROR(INDEX(Lists!$K$5:$K$9,MATCH(P195,Lists!$J$5:$J$9,0)),0))</f>
        <v/>
      </c>
      <c r="T195" s="6" t="str">
        <f t="shared" si="5"/>
        <v/>
      </c>
      <c r="U195" s="11"/>
      <c r="V195" s="7"/>
      <c r="W195" s="8"/>
      <c r="X195" s="11"/>
    </row>
    <row r="196" spans="1:24" x14ac:dyDescent="0.25">
      <c r="A196" s="6" t="str">
        <f t="shared" si="4"/>
        <v/>
      </c>
      <c r="B196" s="7"/>
      <c r="C196" s="8"/>
      <c r="D196" s="8"/>
      <c r="E196" s="8"/>
      <c r="F196" s="9"/>
      <c r="G196" s="8"/>
      <c r="H196" s="8"/>
      <c r="I196" s="8"/>
      <c r="J196" s="8"/>
      <c r="K196" s="8"/>
      <c r="L196" s="10"/>
      <c r="M196" s="8"/>
      <c r="N196" s="8"/>
      <c r="O196" s="11"/>
      <c r="P196" s="8"/>
      <c r="Q196" s="8"/>
      <c r="R196" s="8"/>
      <c r="S196" s="6" t="str">
        <f>IF($C196="","",IFERROR(INDEX(Lists!$B$5:$B$16,MATCH(J196,Lists!$A$5:$A$16,0)),0)+IFERROR(INDEX(Lists!$E$5:$E$8,MATCH(K196,Lists!$D$5:$D$8,0)),0)+IFERROR(INDEX(Lists!$H$5:$H$11,MATCH(M196,Lists!$G$5:$G$11,0)),0)+IFERROR(INDEX(Lists!$K$5:$K$9,MATCH(P196,Lists!$J$5:$J$9,0)),0))</f>
        <v/>
      </c>
      <c r="T196" s="6" t="str">
        <f t="shared" si="5"/>
        <v/>
      </c>
      <c r="U196" s="11"/>
      <c r="V196" s="7"/>
      <c r="W196" s="8"/>
      <c r="X196" s="11"/>
    </row>
    <row r="197" spans="1:24" x14ac:dyDescent="0.25">
      <c r="A197" s="6" t="str">
        <f t="shared" ref="A197:A260" si="6">IF($C197="","","L-"&amp;TEXT(ROW()-4,"000"))</f>
        <v/>
      </c>
      <c r="B197" s="7"/>
      <c r="C197" s="8"/>
      <c r="D197" s="8"/>
      <c r="E197" s="8"/>
      <c r="F197" s="9"/>
      <c r="G197" s="8"/>
      <c r="H197" s="8"/>
      <c r="I197" s="8"/>
      <c r="J197" s="8"/>
      <c r="K197" s="8"/>
      <c r="L197" s="10"/>
      <c r="M197" s="8"/>
      <c r="N197" s="8"/>
      <c r="O197" s="11"/>
      <c r="P197" s="8"/>
      <c r="Q197" s="8"/>
      <c r="R197" s="8"/>
      <c r="S197" s="6" t="str">
        <f>IF($C197="","",IFERROR(INDEX(Lists!$B$5:$B$16,MATCH(J197,Lists!$A$5:$A$16,0)),0)+IFERROR(INDEX(Lists!$E$5:$E$8,MATCH(K197,Lists!$D$5:$D$8,0)),0)+IFERROR(INDEX(Lists!$H$5:$H$11,MATCH(M197,Lists!$G$5:$G$11,0)),0)+IFERROR(INDEX(Lists!$K$5:$K$9,MATCH(P197,Lists!$J$5:$J$9,0)),0))</f>
        <v/>
      </c>
      <c r="T197" s="6" t="str">
        <f t="shared" ref="T197:T260" si="7">IF($C197="","",IF(AND(S197&gt;=75,LEFT(P197,3)="Yes"),"Hot",IF(S197&gt;=55,"Warm","Cold")))</f>
        <v/>
      </c>
      <c r="U197" s="11"/>
      <c r="V197" s="7"/>
      <c r="W197" s="8"/>
      <c r="X197" s="11"/>
    </row>
    <row r="198" spans="1:24" x14ac:dyDescent="0.25">
      <c r="A198" s="6" t="str">
        <f t="shared" si="6"/>
        <v/>
      </c>
      <c r="B198" s="7"/>
      <c r="C198" s="8"/>
      <c r="D198" s="8"/>
      <c r="E198" s="8"/>
      <c r="F198" s="9"/>
      <c r="G198" s="8"/>
      <c r="H198" s="8"/>
      <c r="I198" s="8"/>
      <c r="J198" s="8"/>
      <c r="K198" s="8"/>
      <c r="L198" s="10"/>
      <c r="M198" s="8"/>
      <c r="N198" s="8"/>
      <c r="O198" s="11"/>
      <c r="P198" s="8"/>
      <c r="Q198" s="8"/>
      <c r="R198" s="8"/>
      <c r="S198" s="6" t="str">
        <f>IF($C198="","",IFERROR(INDEX(Lists!$B$5:$B$16,MATCH(J198,Lists!$A$5:$A$16,0)),0)+IFERROR(INDEX(Lists!$E$5:$E$8,MATCH(K198,Lists!$D$5:$D$8,0)),0)+IFERROR(INDEX(Lists!$H$5:$H$11,MATCH(M198,Lists!$G$5:$G$11,0)),0)+IFERROR(INDEX(Lists!$K$5:$K$9,MATCH(P198,Lists!$J$5:$J$9,0)),0))</f>
        <v/>
      </c>
      <c r="T198" s="6" t="str">
        <f t="shared" si="7"/>
        <v/>
      </c>
      <c r="U198" s="11"/>
      <c r="V198" s="7"/>
      <c r="W198" s="8"/>
      <c r="X198" s="11"/>
    </row>
    <row r="199" spans="1:24" x14ac:dyDescent="0.25">
      <c r="A199" s="6" t="str">
        <f t="shared" si="6"/>
        <v/>
      </c>
      <c r="B199" s="7"/>
      <c r="C199" s="8"/>
      <c r="D199" s="8"/>
      <c r="E199" s="8"/>
      <c r="F199" s="9"/>
      <c r="G199" s="8"/>
      <c r="H199" s="8"/>
      <c r="I199" s="8"/>
      <c r="J199" s="8"/>
      <c r="K199" s="8"/>
      <c r="L199" s="10"/>
      <c r="M199" s="8"/>
      <c r="N199" s="8"/>
      <c r="O199" s="11"/>
      <c r="P199" s="8"/>
      <c r="Q199" s="8"/>
      <c r="R199" s="8"/>
      <c r="S199" s="6" t="str">
        <f>IF($C199="","",IFERROR(INDEX(Lists!$B$5:$B$16,MATCH(J199,Lists!$A$5:$A$16,0)),0)+IFERROR(INDEX(Lists!$E$5:$E$8,MATCH(K199,Lists!$D$5:$D$8,0)),0)+IFERROR(INDEX(Lists!$H$5:$H$11,MATCH(M199,Lists!$G$5:$G$11,0)),0)+IFERROR(INDEX(Lists!$K$5:$K$9,MATCH(P199,Lists!$J$5:$J$9,0)),0))</f>
        <v/>
      </c>
      <c r="T199" s="6" t="str">
        <f t="shared" si="7"/>
        <v/>
      </c>
      <c r="U199" s="11"/>
      <c r="V199" s="7"/>
      <c r="W199" s="8"/>
      <c r="X199" s="11"/>
    </row>
    <row r="200" spans="1:24" x14ac:dyDescent="0.25">
      <c r="A200" s="6" t="str">
        <f t="shared" si="6"/>
        <v/>
      </c>
      <c r="B200" s="7"/>
      <c r="C200" s="8"/>
      <c r="D200" s="8"/>
      <c r="E200" s="8"/>
      <c r="F200" s="9"/>
      <c r="G200" s="8"/>
      <c r="H200" s="8"/>
      <c r="I200" s="8"/>
      <c r="J200" s="8"/>
      <c r="K200" s="8"/>
      <c r="L200" s="10"/>
      <c r="M200" s="8"/>
      <c r="N200" s="8"/>
      <c r="O200" s="11"/>
      <c r="P200" s="8"/>
      <c r="Q200" s="8"/>
      <c r="R200" s="8"/>
      <c r="S200" s="6" t="str">
        <f>IF($C200="","",IFERROR(INDEX(Lists!$B$5:$B$16,MATCH(J200,Lists!$A$5:$A$16,0)),0)+IFERROR(INDEX(Lists!$E$5:$E$8,MATCH(K200,Lists!$D$5:$D$8,0)),0)+IFERROR(INDEX(Lists!$H$5:$H$11,MATCH(M200,Lists!$G$5:$G$11,0)),0)+IFERROR(INDEX(Lists!$K$5:$K$9,MATCH(P200,Lists!$J$5:$J$9,0)),0))</f>
        <v/>
      </c>
      <c r="T200" s="6" t="str">
        <f t="shared" si="7"/>
        <v/>
      </c>
      <c r="U200" s="11"/>
      <c r="V200" s="7"/>
      <c r="W200" s="8"/>
      <c r="X200" s="11"/>
    </row>
    <row r="201" spans="1:24" x14ac:dyDescent="0.25">
      <c r="A201" s="6" t="str">
        <f t="shared" si="6"/>
        <v/>
      </c>
      <c r="B201" s="7"/>
      <c r="C201" s="8"/>
      <c r="D201" s="8"/>
      <c r="E201" s="8"/>
      <c r="F201" s="9"/>
      <c r="G201" s="8"/>
      <c r="H201" s="8"/>
      <c r="I201" s="8"/>
      <c r="J201" s="8"/>
      <c r="K201" s="8"/>
      <c r="L201" s="10"/>
      <c r="M201" s="8"/>
      <c r="N201" s="8"/>
      <c r="O201" s="11"/>
      <c r="P201" s="8"/>
      <c r="Q201" s="8"/>
      <c r="R201" s="8"/>
      <c r="S201" s="6" t="str">
        <f>IF($C201="","",IFERROR(INDEX(Lists!$B$5:$B$16,MATCH(J201,Lists!$A$5:$A$16,0)),0)+IFERROR(INDEX(Lists!$E$5:$E$8,MATCH(K201,Lists!$D$5:$D$8,0)),0)+IFERROR(INDEX(Lists!$H$5:$H$11,MATCH(M201,Lists!$G$5:$G$11,0)),0)+IFERROR(INDEX(Lists!$K$5:$K$9,MATCH(P201,Lists!$J$5:$J$9,0)),0))</f>
        <v/>
      </c>
      <c r="T201" s="6" t="str">
        <f t="shared" si="7"/>
        <v/>
      </c>
      <c r="U201" s="11"/>
      <c r="V201" s="7"/>
      <c r="W201" s="8"/>
      <c r="X201" s="11"/>
    </row>
    <row r="202" spans="1:24" x14ac:dyDescent="0.25">
      <c r="A202" s="6" t="str">
        <f t="shared" si="6"/>
        <v/>
      </c>
      <c r="B202" s="7"/>
      <c r="C202" s="8"/>
      <c r="D202" s="8"/>
      <c r="E202" s="8"/>
      <c r="F202" s="9"/>
      <c r="G202" s="8"/>
      <c r="H202" s="8"/>
      <c r="I202" s="8"/>
      <c r="J202" s="8"/>
      <c r="K202" s="8"/>
      <c r="L202" s="10"/>
      <c r="M202" s="8"/>
      <c r="N202" s="8"/>
      <c r="O202" s="11"/>
      <c r="P202" s="8"/>
      <c r="Q202" s="8"/>
      <c r="R202" s="8"/>
      <c r="S202" s="6" t="str">
        <f>IF($C202="","",IFERROR(INDEX(Lists!$B$5:$B$16,MATCH(J202,Lists!$A$5:$A$16,0)),0)+IFERROR(INDEX(Lists!$E$5:$E$8,MATCH(K202,Lists!$D$5:$D$8,0)),0)+IFERROR(INDEX(Lists!$H$5:$H$11,MATCH(M202,Lists!$G$5:$G$11,0)),0)+IFERROR(INDEX(Lists!$K$5:$K$9,MATCH(P202,Lists!$J$5:$J$9,0)),0))</f>
        <v/>
      </c>
      <c r="T202" s="6" t="str">
        <f t="shared" si="7"/>
        <v/>
      </c>
      <c r="U202" s="11"/>
      <c r="V202" s="7"/>
      <c r="W202" s="8"/>
      <c r="X202" s="11"/>
    </row>
    <row r="203" spans="1:24" x14ac:dyDescent="0.25">
      <c r="A203" s="6" t="str">
        <f t="shared" si="6"/>
        <v/>
      </c>
      <c r="B203" s="7"/>
      <c r="C203" s="8"/>
      <c r="D203" s="8"/>
      <c r="E203" s="8"/>
      <c r="F203" s="9"/>
      <c r="G203" s="8"/>
      <c r="H203" s="8"/>
      <c r="I203" s="8"/>
      <c r="J203" s="8"/>
      <c r="K203" s="8"/>
      <c r="L203" s="10"/>
      <c r="M203" s="8"/>
      <c r="N203" s="8"/>
      <c r="O203" s="11"/>
      <c r="P203" s="8"/>
      <c r="Q203" s="8"/>
      <c r="R203" s="8"/>
      <c r="S203" s="6" t="str">
        <f>IF($C203="","",IFERROR(INDEX(Lists!$B$5:$B$16,MATCH(J203,Lists!$A$5:$A$16,0)),0)+IFERROR(INDEX(Lists!$E$5:$E$8,MATCH(K203,Lists!$D$5:$D$8,0)),0)+IFERROR(INDEX(Lists!$H$5:$H$11,MATCH(M203,Lists!$G$5:$G$11,0)),0)+IFERROR(INDEX(Lists!$K$5:$K$9,MATCH(P203,Lists!$J$5:$J$9,0)),0))</f>
        <v/>
      </c>
      <c r="T203" s="6" t="str">
        <f t="shared" si="7"/>
        <v/>
      </c>
      <c r="U203" s="11"/>
      <c r="V203" s="7"/>
      <c r="W203" s="8"/>
      <c r="X203" s="11"/>
    </row>
    <row r="204" spans="1:24" x14ac:dyDescent="0.25">
      <c r="A204" s="6" t="str">
        <f t="shared" si="6"/>
        <v/>
      </c>
      <c r="B204" s="7"/>
      <c r="C204" s="8"/>
      <c r="D204" s="8"/>
      <c r="E204" s="8"/>
      <c r="F204" s="9"/>
      <c r="G204" s="8"/>
      <c r="H204" s="8"/>
      <c r="I204" s="8"/>
      <c r="J204" s="8"/>
      <c r="K204" s="8"/>
      <c r="L204" s="10"/>
      <c r="M204" s="8"/>
      <c r="N204" s="8"/>
      <c r="O204" s="11"/>
      <c r="P204" s="8"/>
      <c r="Q204" s="8"/>
      <c r="R204" s="8"/>
      <c r="S204" s="6" t="str">
        <f>IF($C204="","",IFERROR(INDEX(Lists!$B$5:$B$16,MATCH(J204,Lists!$A$5:$A$16,0)),0)+IFERROR(INDEX(Lists!$E$5:$E$8,MATCH(K204,Lists!$D$5:$D$8,0)),0)+IFERROR(INDEX(Lists!$H$5:$H$11,MATCH(M204,Lists!$G$5:$G$11,0)),0)+IFERROR(INDEX(Lists!$K$5:$K$9,MATCH(P204,Lists!$J$5:$J$9,0)),0))</f>
        <v/>
      </c>
      <c r="T204" s="6" t="str">
        <f t="shared" si="7"/>
        <v/>
      </c>
      <c r="U204" s="11"/>
      <c r="V204" s="7"/>
      <c r="W204" s="8"/>
      <c r="X204" s="11"/>
    </row>
    <row r="205" spans="1:24" x14ac:dyDescent="0.25">
      <c r="A205" s="6" t="str">
        <f t="shared" si="6"/>
        <v/>
      </c>
      <c r="B205" s="7"/>
      <c r="C205" s="8"/>
      <c r="D205" s="8"/>
      <c r="E205" s="8"/>
      <c r="F205" s="9"/>
      <c r="G205" s="8"/>
      <c r="H205" s="8"/>
      <c r="I205" s="8"/>
      <c r="J205" s="8"/>
      <c r="K205" s="8"/>
      <c r="L205" s="10"/>
      <c r="M205" s="8"/>
      <c r="N205" s="8"/>
      <c r="O205" s="11"/>
      <c r="P205" s="8"/>
      <c r="Q205" s="8"/>
      <c r="R205" s="8"/>
      <c r="S205" s="6" t="str">
        <f>IF($C205="","",IFERROR(INDEX(Lists!$B$5:$B$16,MATCH(J205,Lists!$A$5:$A$16,0)),0)+IFERROR(INDEX(Lists!$E$5:$E$8,MATCH(K205,Lists!$D$5:$D$8,0)),0)+IFERROR(INDEX(Lists!$H$5:$H$11,MATCH(M205,Lists!$G$5:$G$11,0)),0)+IFERROR(INDEX(Lists!$K$5:$K$9,MATCH(P205,Lists!$J$5:$J$9,0)),0))</f>
        <v/>
      </c>
      <c r="T205" s="6" t="str">
        <f t="shared" si="7"/>
        <v/>
      </c>
      <c r="U205" s="11"/>
      <c r="V205" s="7"/>
      <c r="W205" s="8"/>
      <c r="X205" s="11"/>
    </row>
    <row r="206" spans="1:24" x14ac:dyDescent="0.25">
      <c r="A206" s="6" t="str">
        <f t="shared" si="6"/>
        <v/>
      </c>
      <c r="B206" s="7"/>
      <c r="C206" s="8"/>
      <c r="D206" s="8"/>
      <c r="E206" s="8"/>
      <c r="F206" s="9"/>
      <c r="G206" s="8"/>
      <c r="H206" s="8"/>
      <c r="I206" s="8"/>
      <c r="J206" s="8"/>
      <c r="K206" s="8"/>
      <c r="L206" s="10"/>
      <c r="M206" s="8"/>
      <c r="N206" s="8"/>
      <c r="O206" s="11"/>
      <c r="P206" s="8"/>
      <c r="Q206" s="8"/>
      <c r="R206" s="8"/>
      <c r="S206" s="6" t="str">
        <f>IF($C206="","",IFERROR(INDEX(Lists!$B$5:$B$16,MATCH(J206,Lists!$A$5:$A$16,0)),0)+IFERROR(INDEX(Lists!$E$5:$E$8,MATCH(K206,Lists!$D$5:$D$8,0)),0)+IFERROR(INDEX(Lists!$H$5:$H$11,MATCH(M206,Lists!$G$5:$G$11,0)),0)+IFERROR(INDEX(Lists!$K$5:$K$9,MATCH(P206,Lists!$J$5:$J$9,0)),0))</f>
        <v/>
      </c>
      <c r="T206" s="6" t="str">
        <f t="shared" si="7"/>
        <v/>
      </c>
      <c r="U206" s="11"/>
      <c r="V206" s="7"/>
      <c r="W206" s="8"/>
      <c r="X206" s="11"/>
    </row>
    <row r="207" spans="1:24" x14ac:dyDescent="0.25">
      <c r="A207" s="6" t="str">
        <f t="shared" si="6"/>
        <v/>
      </c>
      <c r="B207" s="7"/>
      <c r="C207" s="8"/>
      <c r="D207" s="8"/>
      <c r="E207" s="8"/>
      <c r="F207" s="9"/>
      <c r="G207" s="8"/>
      <c r="H207" s="8"/>
      <c r="I207" s="8"/>
      <c r="J207" s="8"/>
      <c r="K207" s="8"/>
      <c r="L207" s="10"/>
      <c r="M207" s="8"/>
      <c r="N207" s="8"/>
      <c r="O207" s="11"/>
      <c r="P207" s="8"/>
      <c r="Q207" s="8"/>
      <c r="R207" s="8"/>
      <c r="S207" s="6" t="str">
        <f>IF($C207="","",IFERROR(INDEX(Lists!$B$5:$B$16,MATCH(J207,Lists!$A$5:$A$16,0)),0)+IFERROR(INDEX(Lists!$E$5:$E$8,MATCH(K207,Lists!$D$5:$D$8,0)),0)+IFERROR(INDEX(Lists!$H$5:$H$11,MATCH(M207,Lists!$G$5:$G$11,0)),0)+IFERROR(INDEX(Lists!$K$5:$K$9,MATCH(P207,Lists!$J$5:$J$9,0)),0))</f>
        <v/>
      </c>
      <c r="T207" s="6" t="str">
        <f t="shared" si="7"/>
        <v/>
      </c>
      <c r="U207" s="11"/>
      <c r="V207" s="7"/>
      <c r="W207" s="8"/>
      <c r="X207" s="11"/>
    </row>
    <row r="208" spans="1:24" x14ac:dyDescent="0.25">
      <c r="A208" s="6" t="str">
        <f t="shared" si="6"/>
        <v/>
      </c>
      <c r="B208" s="7"/>
      <c r="C208" s="8"/>
      <c r="D208" s="8"/>
      <c r="E208" s="8"/>
      <c r="F208" s="9"/>
      <c r="G208" s="8"/>
      <c r="H208" s="8"/>
      <c r="I208" s="8"/>
      <c r="J208" s="8"/>
      <c r="K208" s="8"/>
      <c r="L208" s="10"/>
      <c r="M208" s="8"/>
      <c r="N208" s="8"/>
      <c r="O208" s="11"/>
      <c r="P208" s="8"/>
      <c r="Q208" s="8"/>
      <c r="R208" s="8"/>
      <c r="S208" s="6" t="str">
        <f>IF($C208="","",IFERROR(INDEX(Lists!$B$5:$B$16,MATCH(J208,Lists!$A$5:$A$16,0)),0)+IFERROR(INDEX(Lists!$E$5:$E$8,MATCH(K208,Lists!$D$5:$D$8,0)),0)+IFERROR(INDEX(Lists!$H$5:$H$11,MATCH(M208,Lists!$G$5:$G$11,0)),0)+IFERROR(INDEX(Lists!$K$5:$K$9,MATCH(P208,Lists!$J$5:$J$9,0)),0))</f>
        <v/>
      </c>
      <c r="T208" s="6" t="str">
        <f t="shared" si="7"/>
        <v/>
      </c>
      <c r="U208" s="11"/>
      <c r="V208" s="7"/>
      <c r="W208" s="8"/>
      <c r="X208" s="11"/>
    </row>
    <row r="209" spans="1:24" x14ac:dyDescent="0.25">
      <c r="A209" s="6" t="str">
        <f t="shared" si="6"/>
        <v/>
      </c>
      <c r="B209" s="7"/>
      <c r="C209" s="8"/>
      <c r="D209" s="8"/>
      <c r="E209" s="8"/>
      <c r="F209" s="9"/>
      <c r="G209" s="8"/>
      <c r="H209" s="8"/>
      <c r="I209" s="8"/>
      <c r="J209" s="8"/>
      <c r="K209" s="8"/>
      <c r="L209" s="10"/>
      <c r="M209" s="8"/>
      <c r="N209" s="8"/>
      <c r="O209" s="11"/>
      <c r="P209" s="8"/>
      <c r="Q209" s="8"/>
      <c r="R209" s="8"/>
      <c r="S209" s="6" t="str">
        <f>IF($C209="","",IFERROR(INDEX(Lists!$B$5:$B$16,MATCH(J209,Lists!$A$5:$A$16,0)),0)+IFERROR(INDEX(Lists!$E$5:$E$8,MATCH(K209,Lists!$D$5:$D$8,0)),0)+IFERROR(INDEX(Lists!$H$5:$H$11,MATCH(M209,Lists!$G$5:$G$11,0)),0)+IFERROR(INDEX(Lists!$K$5:$K$9,MATCH(P209,Lists!$J$5:$J$9,0)),0))</f>
        <v/>
      </c>
      <c r="T209" s="6" t="str">
        <f t="shared" si="7"/>
        <v/>
      </c>
      <c r="U209" s="11"/>
      <c r="V209" s="7"/>
      <c r="W209" s="8"/>
      <c r="X209" s="11"/>
    </row>
    <row r="210" spans="1:24" x14ac:dyDescent="0.25">
      <c r="A210" s="6" t="str">
        <f t="shared" si="6"/>
        <v/>
      </c>
      <c r="B210" s="7"/>
      <c r="C210" s="8"/>
      <c r="D210" s="8"/>
      <c r="E210" s="8"/>
      <c r="F210" s="9"/>
      <c r="G210" s="8"/>
      <c r="H210" s="8"/>
      <c r="I210" s="8"/>
      <c r="J210" s="8"/>
      <c r="K210" s="8"/>
      <c r="L210" s="10"/>
      <c r="M210" s="8"/>
      <c r="N210" s="8"/>
      <c r="O210" s="11"/>
      <c r="P210" s="8"/>
      <c r="Q210" s="8"/>
      <c r="R210" s="8"/>
      <c r="S210" s="6" t="str">
        <f>IF($C210="","",IFERROR(INDEX(Lists!$B$5:$B$16,MATCH(J210,Lists!$A$5:$A$16,0)),0)+IFERROR(INDEX(Lists!$E$5:$E$8,MATCH(K210,Lists!$D$5:$D$8,0)),0)+IFERROR(INDEX(Lists!$H$5:$H$11,MATCH(M210,Lists!$G$5:$G$11,0)),0)+IFERROR(INDEX(Lists!$K$5:$K$9,MATCH(P210,Lists!$J$5:$J$9,0)),0))</f>
        <v/>
      </c>
      <c r="T210" s="6" t="str">
        <f t="shared" si="7"/>
        <v/>
      </c>
      <c r="U210" s="11"/>
      <c r="V210" s="7"/>
      <c r="W210" s="8"/>
      <c r="X210" s="11"/>
    </row>
    <row r="211" spans="1:24" x14ac:dyDescent="0.25">
      <c r="A211" s="6" t="str">
        <f t="shared" si="6"/>
        <v/>
      </c>
      <c r="B211" s="7"/>
      <c r="C211" s="8"/>
      <c r="D211" s="8"/>
      <c r="E211" s="8"/>
      <c r="F211" s="9"/>
      <c r="G211" s="8"/>
      <c r="H211" s="8"/>
      <c r="I211" s="8"/>
      <c r="J211" s="8"/>
      <c r="K211" s="8"/>
      <c r="L211" s="10"/>
      <c r="M211" s="8"/>
      <c r="N211" s="8"/>
      <c r="O211" s="11"/>
      <c r="P211" s="8"/>
      <c r="Q211" s="8"/>
      <c r="R211" s="8"/>
      <c r="S211" s="6" t="str">
        <f>IF($C211="","",IFERROR(INDEX(Lists!$B$5:$B$16,MATCH(J211,Lists!$A$5:$A$16,0)),0)+IFERROR(INDEX(Lists!$E$5:$E$8,MATCH(K211,Lists!$D$5:$D$8,0)),0)+IFERROR(INDEX(Lists!$H$5:$H$11,MATCH(M211,Lists!$G$5:$G$11,0)),0)+IFERROR(INDEX(Lists!$K$5:$K$9,MATCH(P211,Lists!$J$5:$J$9,0)),0))</f>
        <v/>
      </c>
      <c r="T211" s="6" t="str">
        <f t="shared" si="7"/>
        <v/>
      </c>
      <c r="U211" s="11"/>
      <c r="V211" s="7"/>
      <c r="W211" s="8"/>
      <c r="X211" s="11"/>
    </row>
    <row r="212" spans="1:24" x14ac:dyDescent="0.25">
      <c r="A212" s="6" t="str">
        <f t="shared" si="6"/>
        <v/>
      </c>
      <c r="B212" s="7"/>
      <c r="C212" s="8"/>
      <c r="D212" s="8"/>
      <c r="E212" s="8"/>
      <c r="F212" s="9"/>
      <c r="G212" s="8"/>
      <c r="H212" s="8"/>
      <c r="I212" s="8"/>
      <c r="J212" s="8"/>
      <c r="K212" s="8"/>
      <c r="L212" s="10"/>
      <c r="M212" s="8"/>
      <c r="N212" s="8"/>
      <c r="O212" s="11"/>
      <c r="P212" s="8"/>
      <c r="Q212" s="8"/>
      <c r="R212" s="8"/>
      <c r="S212" s="6" t="str">
        <f>IF($C212="","",IFERROR(INDEX(Lists!$B$5:$B$16,MATCH(J212,Lists!$A$5:$A$16,0)),0)+IFERROR(INDEX(Lists!$E$5:$E$8,MATCH(K212,Lists!$D$5:$D$8,0)),0)+IFERROR(INDEX(Lists!$H$5:$H$11,MATCH(M212,Lists!$G$5:$G$11,0)),0)+IFERROR(INDEX(Lists!$K$5:$K$9,MATCH(P212,Lists!$J$5:$J$9,0)),0))</f>
        <v/>
      </c>
      <c r="T212" s="6" t="str">
        <f t="shared" si="7"/>
        <v/>
      </c>
      <c r="U212" s="11"/>
      <c r="V212" s="7"/>
      <c r="W212" s="8"/>
      <c r="X212" s="11"/>
    </row>
    <row r="213" spans="1:24" x14ac:dyDescent="0.25">
      <c r="A213" s="6" t="str">
        <f t="shared" si="6"/>
        <v/>
      </c>
      <c r="B213" s="7"/>
      <c r="C213" s="8"/>
      <c r="D213" s="8"/>
      <c r="E213" s="8"/>
      <c r="F213" s="9"/>
      <c r="G213" s="8"/>
      <c r="H213" s="8"/>
      <c r="I213" s="8"/>
      <c r="J213" s="8"/>
      <c r="K213" s="8"/>
      <c r="L213" s="10"/>
      <c r="M213" s="8"/>
      <c r="N213" s="8"/>
      <c r="O213" s="11"/>
      <c r="P213" s="8"/>
      <c r="Q213" s="8"/>
      <c r="R213" s="8"/>
      <c r="S213" s="6" t="str">
        <f>IF($C213="","",IFERROR(INDEX(Lists!$B$5:$B$16,MATCH(J213,Lists!$A$5:$A$16,0)),0)+IFERROR(INDEX(Lists!$E$5:$E$8,MATCH(K213,Lists!$D$5:$D$8,0)),0)+IFERROR(INDEX(Lists!$H$5:$H$11,MATCH(M213,Lists!$G$5:$G$11,0)),0)+IFERROR(INDEX(Lists!$K$5:$K$9,MATCH(P213,Lists!$J$5:$J$9,0)),0))</f>
        <v/>
      </c>
      <c r="T213" s="6" t="str">
        <f t="shared" si="7"/>
        <v/>
      </c>
      <c r="U213" s="11"/>
      <c r="V213" s="7"/>
      <c r="W213" s="8"/>
      <c r="X213" s="11"/>
    </row>
    <row r="214" spans="1:24" x14ac:dyDescent="0.25">
      <c r="A214" s="6" t="str">
        <f t="shared" si="6"/>
        <v/>
      </c>
      <c r="B214" s="7"/>
      <c r="C214" s="8"/>
      <c r="D214" s="8"/>
      <c r="E214" s="8"/>
      <c r="F214" s="9"/>
      <c r="G214" s="8"/>
      <c r="H214" s="8"/>
      <c r="I214" s="8"/>
      <c r="J214" s="8"/>
      <c r="K214" s="8"/>
      <c r="L214" s="10"/>
      <c r="M214" s="8"/>
      <c r="N214" s="8"/>
      <c r="O214" s="11"/>
      <c r="P214" s="8"/>
      <c r="Q214" s="8"/>
      <c r="R214" s="8"/>
      <c r="S214" s="6" t="str">
        <f>IF($C214="","",IFERROR(INDEX(Lists!$B$5:$B$16,MATCH(J214,Lists!$A$5:$A$16,0)),0)+IFERROR(INDEX(Lists!$E$5:$E$8,MATCH(K214,Lists!$D$5:$D$8,0)),0)+IFERROR(INDEX(Lists!$H$5:$H$11,MATCH(M214,Lists!$G$5:$G$11,0)),0)+IFERROR(INDEX(Lists!$K$5:$K$9,MATCH(P214,Lists!$J$5:$J$9,0)),0))</f>
        <v/>
      </c>
      <c r="T214" s="6" t="str">
        <f t="shared" si="7"/>
        <v/>
      </c>
      <c r="U214" s="11"/>
      <c r="V214" s="7"/>
      <c r="W214" s="8"/>
      <c r="X214" s="11"/>
    </row>
    <row r="215" spans="1:24" x14ac:dyDescent="0.25">
      <c r="A215" s="6" t="str">
        <f t="shared" si="6"/>
        <v/>
      </c>
      <c r="B215" s="7"/>
      <c r="C215" s="8"/>
      <c r="D215" s="8"/>
      <c r="E215" s="8"/>
      <c r="F215" s="9"/>
      <c r="G215" s="8"/>
      <c r="H215" s="8"/>
      <c r="I215" s="8"/>
      <c r="J215" s="8"/>
      <c r="K215" s="8"/>
      <c r="L215" s="10"/>
      <c r="M215" s="8"/>
      <c r="N215" s="8"/>
      <c r="O215" s="11"/>
      <c r="P215" s="8"/>
      <c r="Q215" s="8"/>
      <c r="R215" s="8"/>
      <c r="S215" s="6" t="str">
        <f>IF($C215="","",IFERROR(INDEX(Lists!$B$5:$B$16,MATCH(J215,Lists!$A$5:$A$16,0)),0)+IFERROR(INDEX(Lists!$E$5:$E$8,MATCH(K215,Lists!$D$5:$D$8,0)),0)+IFERROR(INDEX(Lists!$H$5:$H$11,MATCH(M215,Lists!$G$5:$G$11,0)),0)+IFERROR(INDEX(Lists!$K$5:$K$9,MATCH(P215,Lists!$J$5:$J$9,0)),0))</f>
        <v/>
      </c>
      <c r="T215" s="6" t="str">
        <f t="shared" si="7"/>
        <v/>
      </c>
      <c r="U215" s="11"/>
      <c r="V215" s="7"/>
      <c r="W215" s="8"/>
      <c r="X215" s="11"/>
    </row>
    <row r="216" spans="1:24" x14ac:dyDescent="0.25">
      <c r="A216" s="6" t="str">
        <f t="shared" si="6"/>
        <v/>
      </c>
      <c r="B216" s="7"/>
      <c r="C216" s="8"/>
      <c r="D216" s="8"/>
      <c r="E216" s="8"/>
      <c r="F216" s="9"/>
      <c r="G216" s="8"/>
      <c r="H216" s="8"/>
      <c r="I216" s="8"/>
      <c r="J216" s="8"/>
      <c r="K216" s="8"/>
      <c r="L216" s="10"/>
      <c r="M216" s="8"/>
      <c r="N216" s="8"/>
      <c r="O216" s="11"/>
      <c r="P216" s="8"/>
      <c r="Q216" s="8"/>
      <c r="R216" s="8"/>
      <c r="S216" s="6" t="str">
        <f>IF($C216="","",IFERROR(INDEX(Lists!$B$5:$B$16,MATCH(J216,Lists!$A$5:$A$16,0)),0)+IFERROR(INDEX(Lists!$E$5:$E$8,MATCH(K216,Lists!$D$5:$D$8,0)),0)+IFERROR(INDEX(Lists!$H$5:$H$11,MATCH(M216,Lists!$G$5:$G$11,0)),0)+IFERROR(INDEX(Lists!$K$5:$K$9,MATCH(P216,Lists!$J$5:$J$9,0)),0))</f>
        <v/>
      </c>
      <c r="T216" s="6" t="str">
        <f t="shared" si="7"/>
        <v/>
      </c>
      <c r="U216" s="11"/>
      <c r="V216" s="7"/>
      <c r="W216" s="8"/>
      <c r="X216" s="11"/>
    </row>
    <row r="217" spans="1:24" x14ac:dyDescent="0.25">
      <c r="A217" s="6" t="str">
        <f t="shared" si="6"/>
        <v/>
      </c>
      <c r="B217" s="7"/>
      <c r="C217" s="8"/>
      <c r="D217" s="8"/>
      <c r="E217" s="8"/>
      <c r="F217" s="9"/>
      <c r="G217" s="8"/>
      <c r="H217" s="8"/>
      <c r="I217" s="8"/>
      <c r="J217" s="8"/>
      <c r="K217" s="8"/>
      <c r="L217" s="10"/>
      <c r="M217" s="8"/>
      <c r="N217" s="8"/>
      <c r="O217" s="11"/>
      <c r="P217" s="8"/>
      <c r="Q217" s="8"/>
      <c r="R217" s="8"/>
      <c r="S217" s="6" t="str">
        <f>IF($C217="","",IFERROR(INDEX(Lists!$B$5:$B$16,MATCH(J217,Lists!$A$5:$A$16,0)),0)+IFERROR(INDEX(Lists!$E$5:$E$8,MATCH(K217,Lists!$D$5:$D$8,0)),0)+IFERROR(INDEX(Lists!$H$5:$H$11,MATCH(M217,Lists!$G$5:$G$11,0)),0)+IFERROR(INDEX(Lists!$K$5:$K$9,MATCH(P217,Lists!$J$5:$J$9,0)),0))</f>
        <v/>
      </c>
      <c r="T217" s="6" t="str">
        <f t="shared" si="7"/>
        <v/>
      </c>
      <c r="U217" s="11"/>
      <c r="V217" s="7"/>
      <c r="W217" s="8"/>
      <c r="X217" s="11"/>
    </row>
    <row r="218" spans="1:24" x14ac:dyDescent="0.25">
      <c r="A218" s="6" t="str">
        <f t="shared" si="6"/>
        <v/>
      </c>
      <c r="B218" s="7"/>
      <c r="C218" s="8"/>
      <c r="D218" s="8"/>
      <c r="E218" s="8"/>
      <c r="F218" s="9"/>
      <c r="G218" s="8"/>
      <c r="H218" s="8"/>
      <c r="I218" s="8"/>
      <c r="J218" s="8"/>
      <c r="K218" s="8"/>
      <c r="L218" s="10"/>
      <c r="M218" s="8"/>
      <c r="N218" s="8"/>
      <c r="O218" s="11"/>
      <c r="P218" s="8"/>
      <c r="Q218" s="8"/>
      <c r="R218" s="8"/>
      <c r="S218" s="6" t="str">
        <f>IF($C218="","",IFERROR(INDEX(Lists!$B$5:$B$16,MATCH(J218,Lists!$A$5:$A$16,0)),0)+IFERROR(INDEX(Lists!$E$5:$E$8,MATCH(K218,Lists!$D$5:$D$8,0)),0)+IFERROR(INDEX(Lists!$H$5:$H$11,MATCH(M218,Lists!$G$5:$G$11,0)),0)+IFERROR(INDEX(Lists!$K$5:$K$9,MATCH(P218,Lists!$J$5:$J$9,0)),0))</f>
        <v/>
      </c>
      <c r="T218" s="6" t="str">
        <f t="shared" si="7"/>
        <v/>
      </c>
      <c r="U218" s="11"/>
      <c r="V218" s="7"/>
      <c r="W218" s="8"/>
      <c r="X218" s="11"/>
    </row>
    <row r="219" spans="1:24" x14ac:dyDescent="0.25">
      <c r="A219" s="6" t="str">
        <f t="shared" si="6"/>
        <v/>
      </c>
      <c r="B219" s="7"/>
      <c r="C219" s="8"/>
      <c r="D219" s="8"/>
      <c r="E219" s="8"/>
      <c r="F219" s="9"/>
      <c r="G219" s="8"/>
      <c r="H219" s="8"/>
      <c r="I219" s="8"/>
      <c r="J219" s="8"/>
      <c r="K219" s="8"/>
      <c r="L219" s="10"/>
      <c r="M219" s="8"/>
      <c r="N219" s="8"/>
      <c r="O219" s="11"/>
      <c r="P219" s="8"/>
      <c r="Q219" s="8"/>
      <c r="R219" s="8"/>
      <c r="S219" s="6" t="str">
        <f>IF($C219="","",IFERROR(INDEX(Lists!$B$5:$B$16,MATCH(J219,Lists!$A$5:$A$16,0)),0)+IFERROR(INDEX(Lists!$E$5:$E$8,MATCH(K219,Lists!$D$5:$D$8,0)),0)+IFERROR(INDEX(Lists!$H$5:$H$11,MATCH(M219,Lists!$G$5:$G$11,0)),0)+IFERROR(INDEX(Lists!$K$5:$K$9,MATCH(P219,Lists!$J$5:$J$9,0)),0))</f>
        <v/>
      </c>
      <c r="T219" s="6" t="str">
        <f t="shared" si="7"/>
        <v/>
      </c>
      <c r="U219" s="11"/>
      <c r="V219" s="7"/>
      <c r="W219" s="8"/>
      <c r="X219" s="11"/>
    </row>
    <row r="220" spans="1:24" x14ac:dyDescent="0.25">
      <c r="A220" s="6" t="str">
        <f t="shared" si="6"/>
        <v/>
      </c>
      <c r="B220" s="7"/>
      <c r="C220" s="8"/>
      <c r="D220" s="8"/>
      <c r="E220" s="8"/>
      <c r="F220" s="9"/>
      <c r="G220" s="8"/>
      <c r="H220" s="8"/>
      <c r="I220" s="8"/>
      <c r="J220" s="8"/>
      <c r="K220" s="8"/>
      <c r="L220" s="10"/>
      <c r="M220" s="8"/>
      <c r="N220" s="8"/>
      <c r="O220" s="11"/>
      <c r="P220" s="8"/>
      <c r="Q220" s="8"/>
      <c r="R220" s="8"/>
      <c r="S220" s="6" t="str">
        <f>IF($C220="","",IFERROR(INDEX(Lists!$B$5:$B$16,MATCH(J220,Lists!$A$5:$A$16,0)),0)+IFERROR(INDEX(Lists!$E$5:$E$8,MATCH(K220,Lists!$D$5:$D$8,0)),0)+IFERROR(INDEX(Lists!$H$5:$H$11,MATCH(M220,Lists!$G$5:$G$11,0)),0)+IFERROR(INDEX(Lists!$K$5:$K$9,MATCH(P220,Lists!$J$5:$J$9,0)),0))</f>
        <v/>
      </c>
      <c r="T220" s="6" t="str">
        <f t="shared" si="7"/>
        <v/>
      </c>
      <c r="U220" s="11"/>
      <c r="V220" s="7"/>
      <c r="W220" s="8"/>
      <c r="X220" s="11"/>
    </row>
    <row r="221" spans="1:24" x14ac:dyDescent="0.25">
      <c r="A221" s="6" t="str">
        <f t="shared" si="6"/>
        <v/>
      </c>
      <c r="B221" s="7"/>
      <c r="C221" s="8"/>
      <c r="D221" s="8"/>
      <c r="E221" s="8"/>
      <c r="F221" s="9"/>
      <c r="G221" s="8"/>
      <c r="H221" s="8"/>
      <c r="I221" s="8"/>
      <c r="J221" s="8"/>
      <c r="K221" s="8"/>
      <c r="L221" s="10"/>
      <c r="M221" s="8"/>
      <c r="N221" s="8"/>
      <c r="O221" s="11"/>
      <c r="P221" s="8"/>
      <c r="Q221" s="8"/>
      <c r="R221" s="8"/>
      <c r="S221" s="6" t="str">
        <f>IF($C221="","",IFERROR(INDEX(Lists!$B$5:$B$16,MATCH(J221,Lists!$A$5:$A$16,0)),0)+IFERROR(INDEX(Lists!$E$5:$E$8,MATCH(K221,Lists!$D$5:$D$8,0)),0)+IFERROR(INDEX(Lists!$H$5:$H$11,MATCH(M221,Lists!$G$5:$G$11,0)),0)+IFERROR(INDEX(Lists!$K$5:$K$9,MATCH(P221,Lists!$J$5:$J$9,0)),0))</f>
        <v/>
      </c>
      <c r="T221" s="6" t="str">
        <f t="shared" si="7"/>
        <v/>
      </c>
      <c r="U221" s="11"/>
      <c r="V221" s="7"/>
      <c r="W221" s="8"/>
      <c r="X221" s="11"/>
    </row>
    <row r="222" spans="1:24" x14ac:dyDescent="0.25">
      <c r="A222" s="6" t="str">
        <f t="shared" si="6"/>
        <v/>
      </c>
      <c r="B222" s="7"/>
      <c r="C222" s="8"/>
      <c r="D222" s="8"/>
      <c r="E222" s="8"/>
      <c r="F222" s="9"/>
      <c r="G222" s="8"/>
      <c r="H222" s="8"/>
      <c r="I222" s="8"/>
      <c r="J222" s="8"/>
      <c r="K222" s="8"/>
      <c r="L222" s="10"/>
      <c r="M222" s="8"/>
      <c r="N222" s="8"/>
      <c r="O222" s="11"/>
      <c r="P222" s="8"/>
      <c r="Q222" s="8"/>
      <c r="R222" s="8"/>
      <c r="S222" s="6" t="str">
        <f>IF($C222="","",IFERROR(INDEX(Lists!$B$5:$B$16,MATCH(J222,Lists!$A$5:$A$16,0)),0)+IFERROR(INDEX(Lists!$E$5:$E$8,MATCH(K222,Lists!$D$5:$D$8,0)),0)+IFERROR(INDEX(Lists!$H$5:$H$11,MATCH(M222,Lists!$G$5:$G$11,0)),0)+IFERROR(INDEX(Lists!$K$5:$K$9,MATCH(P222,Lists!$J$5:$J$9,0)),0))</f>
        <v/>
      </c>
      <c r="T222" s="6" t="str">
        <f t="shared" si="7"/>
        <v/>
      </c>
      <c r="U222" s="11"/>
      <c r="V222" s="7"/>
      <c r="W222" s="8"/>
      <c r="X222" s="11"/>
    </row>
    <row r="223" spans="1:24" x14ac:dyDescent="0.25">
      <c r="A223" s="6" t="str">
        <f t="shared" si="6"/>
        <v/>
      </c>
      <c r="B223" s="7"/>
      <c r="C223" s="8"/>
      <c r="D223" s="8"/>
      <c r="E223" s="8"/>
      <c r="F223" s="9"/>
      <c r="G223" s="8"/>
      <c r="H223" s="8"/>
      <c r="I223" s="8"/>
      <c r="J223" s="8"/>
      <c r="K223" s="8"/>
      <c r="L223" s="10"/>
      <c r="M223" s="8"/>
      <c r="N223" s="8"/>
      <c r="O223" s="11"/>
      <c r="P223" s="8"/>
      <c r="Q223" s="8"/>
      <c r="R223" s="8"/>
      <c r="S223" s="6" t="str">
        <f>IF($C223="","",IFERROR(INDEX(Lists!$B$5:$B$16,MATCH(J223,Lists!$A$5:$A$16,0)),0)+IFERROR(INDEX(Lists!$E$5:$E$8,MATCH(K223,Lists!$D$5:$D$8,0)),0)+IFERROR(INDEX(Lists!$H$5:$H$11,MATCH(M223,Lists!$G$5:$G$11,0)),0)+IFERROR(INDEX(Lists!$K$5:$K$9,MATCH(P223,Lists!$J$5:$J$9,0)),0))</f>
        <v/>
      </c>
      <c r="T223" s="6" t="str">
        <f t="shared" si="7"/>
        <v/>
      </c>
      <c r="U223" s="11"/>
      <c r="V223" s="7"/>
      <c r="W223" s="8"/>
      <c r="X223" s="11"/>
    </row>
    <row r="224" spans="1:24" x14ac:dyDescent="0.25">
      <c r="A224" s="6" t="str">
        <f t="shared" si="6"/>
        <v/>
      </c>
      <c r="B224" s="7"/>
      <c r="C224" s="8"/>
      <c r="D224" s="8"/>
      <c r="E224" s="8"/>
      <c r="F224" s="9"/>
      <c r="G224" s="8"/>
      <c r="H224" s="8"/>
      <c r="I224" s="8"/>
      <c r="J224" s="8"/>
      <c r="K224" s="8"/>
      <c r="L224" s="10"/>
      <c r="M224" s="8"/>
      <c r="N224" s="8"/>
      <c r="O224" s="11"/>
      <c r="P224" s="8"/>
      <c r="Q224" s="8"/>
      <c r="R224" s="8"/>
      <c r="S224" s="6" t="str">
        <f>IF($C224="","",IFERROR(INDEX(Lists!$B$5:$B$16,MATCH(J224,Lists!$A$5:$A$16,0)),0)+IFERROR(INDEX(Lists!$E$5:$E$8,MATCH(K224,Lists!$D$5:$D$8,0)),0)+IFERROR(INDEX(Lists!$H$5:$H$11,MATCH(M224,Lists!$G$5:$G$11,0)),0)+IFERROR(INDEX(Lists!$K$5:$K$9,MATCH(P224,Lists!$J$5:$J$9,0)),0))</f>
        <v/>
      </c>
      <c r="T224" s="6" t="str">
        <f t="shared" si="7"/>
        <v/>
      </c>
      <c r="U224" s="11"/>
      <c r="V224" s="7"/>
      <c r="W224" s="8"/>
      <c r="X224" s="11"/>
    </row>
    <row r="225" spans="1:24" x14ac:dyDescent="0.25">
      <c r="A225" s="6" t="str">
        <f t="shared" si="6"/>
        <v/>
      </c>
      <c r="B225" s="7"/>
      <c r="C225" s="8"/>
      <c r="D225" s="8"/>
      <c r="E225" s="8"/>
      <c r="F225" s="9"/>
      <c r="G225" s="8"/>
      <c r="H225" s="8"/>
      <c r="I225" s="8"/>
      <c r="J225" s="8"/>
      <c r="K225" s="8"/>
      <c r="L225" s="10"/>
      <c r="M225" s="8"/>
      <c r="N225" s="8"/>
      <c r="O225" s="11"/>
      <c r="P225" s="8"/>
      <c r="Q225" s="8"/>
      <c r="R225" s="8"/>
      <c r="S225" s="6" t="str">
        <f>IF($C225="","",IFERROR(INDEX(Lists!$B$5:$B$16,MATCH(J225,Lists!$A$5:$A$16,0)),0)+IFERROR(INDEX(Lists!$E$5:$E$8,MATCH(K225,Lists!$D$5:$D$8,0)),0)+IFERROR(INDEX(Lists!$H$5:$H$11,MATCH(M225,Lists!$G$5:$G$11,0)),0)+IFERROR(INDEX(Lists!$K$5:$K$9,MATCH(P225,Lists!$J$5:$J$9,0)),0))</f>
        <v/>
      </c>
      <c r="T225" s="6" t="str">
        <f t="shared" si="7"/>
        <v/>
      </c>
      <c r="U225" s="11"/>
      <c r="V225" s="7"/>
      <c r="W225" s="8"/>
      <c r="X225" s="11"/>
    </row>
    <row r="226" spans="1:24" x14ac:dyDescent="0.25">
      <c r="A226" s="6" t="str">
        <f t="shared" si="6"/>
        <v/>
      </c>
      <c r="B226" s="7"/>
      <c r="C226" s="8"/>
      <c r="D226" s="8"/>
      <c r="E226" s="8"/>
      <c r="F226" s="9"/>
      <c r="G226" s="8"/>
      <c r="H226" s="8"/>
      <c r="I226" s="8"/>
      <c r="J226" s="8"/>
      <c r="K226" s="8"/>
      <c r="L226" s="10"/>
      <c r="M226" s="8"/>
      <c r="N226" s="8"/>
      <c r="O226" s="11"/>
      <c r="P226" s="8"/>
      <c r="Q226" s="8"/>
      <c r="R226" s="8"/>
      <c r="S226" s="6" t="str">
        <f>IF($C226="","",IFERROR(INDEX(Lists!$B$5:$B$16,MATCH(J226,Lists!$A$5:$A$16,0)),0)+IFERROR(INDEX(Lists!$E$5:$E$8,MATCH(K226,Lists!$D$5:$D$8,0)),0)+IFERROR(INDEX(Lists!$H$5:$H$11,MATCH(M226,Lists!$G$5:$G$11,0)),0)+IFERROR(INDEX(Lists!$K$5:$K$9,MATCH(P226,Lists!$J$5:$J$9,0)),0))</f>
        <v/>
      </c>
      <c r="T226" s="6" t="str">
        <f t="shared" si="7"/>
        <v/>
      </c>
      <c r="U226" s="11"/>
      <c r="V226" s="7"/>
      <c r="W226" s="8"/>
      <c r="X226" s="11"/>
    </row>
    <row r="227" spans="1:24" x14ac:dyDescent="0.25">
      <c r="A227" s="6" t="str">
        <f t="shared" si="6"/>
        <v/>
      </c>
      <c r="B227" s="7"/>
      <c r="C227" s="8"/>
      <c r="D227" s="8"/>
      <c r="E227" s="8"/>
      <c r="F227" s="9"/>
      <c r="G227" s="8"/>
      <c r="H227" s="8"/>
      <c r="I227" s="8"/>
      <c r="J227" s="8"/>
      <c r="K227" s="8"/>
      <c r="L227" s="10"/>
      <c r="M227" s="8"/>
      <c r="N227" s="8"/>
      <c r="O227" s="11"/>
      <c r="P227" s="8"/>
      <c r="Q227" s="8"/>
      <c r="R227" s="8"/>
      <c r="S227" s="6" t="str">
        <f>IF($C227="","",IFERROR(INDEX(Lists!$B$5:$B$16,MATCH(J227,Lists!$A$5:$A$16,0)),0)+IFERROR(INDEX(Lists!$E$5:$E$8,MATCH(K227,Lists!$D$5:$D$8,0)),0)+IFERROR(INDEX(Lists!$H$5:$H$11,MATCH(M227,Lists!$G$5:$G$11,0)),0)+IFERROR(INDEX(Lists!$K$5:$K$9,MATCH(P227,Lists!$J$5:$J$9,0)),0))</f>
        <v/>
      </c>
      <c r="T227" s="6" t="str">
        <f t="shared" si="7"/>
        <v/>
      </c>
      <c r="U227" s="11"/>
      <c r="V227" s="7"/>
      <c r="W227" s="8"/>
      <c r="X227" s="11"/>
    </row>
    <row r="228" spans="1:24" x14ac:dyDescent="0.25">
      <c r="A228" s="6" t="str">
        <f t="shared" si="6"/>
        <v/>
      </c>
      <c r="B228" s="7"/>
      <c r="C228" s="8"/>
      <c r="D228" s="8"/>
      <c r="E228" s="8"/>
      <c r="F228" s="9"/>
      <c r="G228" s="8"/>
      <c r="H228" s="8"/>
      <c r="I228" s="8"/>
      <c r="J228" s="8"/>
      <c r="K228" s="8"/>
      <c r="L228" s="10"/>
      <c r="M228" s="8"/>
      <c r="N228" s="8"/>
      <c r="O228" s="11"/>
      <c r="P228" s="8"/>
      <c r="Q228" s="8"/>
      <c r="R228" s="8"/>
      <c r="S228" s="6" t="str">
        <f>IF($C228="","",IFERROR(INDEX(Lists!$B$5:$B$16,MATCH(J228,Lists!$A$5:$A$16,0)),0)+IFERROR(INDEX(Lists!$E$5:$E$8,MATCH(K228,Lists!$D$5:$D$8,0)),0)+IFERROR(INDEX(Lists!$H$5:$H$11,MATCH(M228,Lists!$G$5:$G$11,0)),0)+IFERROR(INDEX(Lists!$K$5:$K$9,MATCH(P228,Lists!$J$5:$J$9,0)),0))</f>
        <v/>
      </c>
      <c r="T228" s="6" t="str">
        <f t="shared" si="7"/>
        <v/>
      </c>
      <c r="U228" s="11"/>
      <c r="V228" s="7"/>
      <c r="W228" s="8"/>
      <c r="X228" s="11"/>
    </row>
    <row r="229" spans="1:24" x14ac:dyDescent="0.25">
      <c r="A229" s="6" t="str">
        <f t="shared" si="6"/>
        <v/>
      </c>
      <c r="B229" s="7"/>
      <c r="C229" s="8"/>
      <c r="D229" s="8"/>
      <c r="E229" s="8"/>
      <c r="F229" s="9"/>
      <c r="G229" s="8"/>
      <c r="H229" s="8"/>
      <c r="I229" s="8"/>
      <c r="J229" s="8"/>
      <c r="K229" s="8"/>
      <c r="L229" s="10"/>
      <c r="M229" s="8"/>
      <c r="N229" s="8"/>
      <c r="O229" s="11"/>
      <c r="P229" s="8"/>
      <c r="Q229" s="8"/>
      <c r="R229" s="8"/>
      <c r="S229" s="6" t="str">
        <f>IF($C229="","",IFERROR(INDEX(Lists!$B$5:$B$16,MATCH(J229,Lists!$A$5:$A$16,0)),0)+IFERROR(INDEX(Lists!$E$5:$E$8,MATCH(K229,Lists!$D$5:$D$8,0)),0)+IFERROR(INDEX(Lists!$H$5:$H$11,MATCH(M229,Lists!$G$5:$G$11,0)),0)+IFERROR(INDEX(Lists!$K$5:$K$9,MATCH(P229,Lists!$J$5:$J$9,0)),0))</f>
        <v/>
      </c>
      <c r="T229" s="6" t="str">
        <f t="shared" si="7"/>
        <v/>
      </c>
      <c r="U229" s="11"/>
      <c r="V229" s="7"/>
      <c r="W229" s="8"/>
      <c r="X229" s="11"/>
    </row>
    <row r="230" spans="1:24" x14ac:dyDescent="0.25">
      <c r="A230" s="6" t="str">
        <f t="shared" si="6"/>
        <v/>
      </c>
      <c r="B230" s="7"/>
      <c r="C230" s="8"/>
      <c r="D230" s="8"/>
      <c r="E230" s="8"/>
      <c r="F230" s="9"/>
      <c r="G230" s="8"/>
      <c r="H230" s="8"/>
      <c r="I230" s="8"/>
      <c r="J230" s="8"/>
      <c r="K230" s="8"/>
      <c r="L230" s="10"/>
      <c r="M230" s="8"/>
      <c r="N230" s="8"/>
      <c r="O230" s="11"/>
      <c r="P230" s="8"/>
      <c r="Q230" s="8"/>
      <c r="R230" s="8"/>
      <c r="S230" s="6" t="str">
        <f>IF($C230="","",IFERROR(INDEX(Lists!$B$5:$B$16,MATCH(J230,Lists!$A$5:$A$16,0)),0)+IFERROR(INDEX(Lists!$E$5:$E$8,MATCH(K230,Lists!$D$5:$D$8,0)),0)+IFERROR(INDEX(Lists!$H$5:$H$11,MATCH(M230,Lists!$G$5:$G$11,0)),0)+IFERROR(INDEX(Lists!$K$5:$K$9,MATCH(P230,Lists!$J$5:$J$9,0)),0))</f>
        <v/>
      </c>
      <c r="T230" s="6" t="str">
        <f t="shared" si="7"/>
        <v/>
      </c>
      <c r="U230" s="11"/>
      <c r="V230" s="7"/>
      <c r="W230" s="8"/>
      <c r="X230" s="11"/>
    </row>
    <row r="231" spans="1:24" x14ac:dyDescent="0.25">
      <c r="A231" s="6" t="str">
        <f t="shared" si="6"/>
        <v/>
      </c>
      <c r="B231" s="7"/>
      <c r="C231" s="8"/>
      <c r="D231" s="8"/>
      <c r="E231" s="8"/>
      <c r="F231" s="9"/>
      <c r="G231" s="8"/>
      <c r="H231" s="8"/>
      <c r="I231" s="8"/>
      <c r="J231" s="8"/>
      <c r="K231" s="8"/>
      <c r="L231" s="10"/>
      <c r="M231" s="8"/>
      <c r="N231" s="8"/>
      <c r="O231" s="11"/>
      <c r="P231" s="8"/>
      <c r="Q231" s="8"/>
      <c r="R231" s="8"/>
      <c r="S231" s="6" t="str">
        <f>IF($C231="","",IFERROR(INDEX(Lists!$B$5:$B$16,MATCH(J231,Lists!$A$5:$A$16,0)),0)+IFERROR(INDEX(Lists!$E$5:$E$8,MATCH(K231,Lists!$D$5:$D$8,0)),0)+IFERROR(INDEX(Lists!$H$5:$H$11,MATCH(M231,Lists!$G$5:$G$11,0)),0)+IFERROR(INDEX(Lists!$K$5:$K$9,MATCH(P231,Lists!$J$5:$J$9,0)),0))</f>
        <v/>
      </c>
      <c r="T231" s="6" t="str">
        <f t="shared" si="7"/>
        <v/>
      </c>
      <c r="U231" s="11"/>
      <c r="V231" s="7"/>
      <c r="W231" s="8"/>
      <c r="X231" s="11"/>
    </row>
    <row r="232" spans="1:24" x14ac:dyDescent="0.25">
      <c r="A232" s="6" t="str">
        <f t="shared" si="6"/>
        <v/>
      </c>
      <c r="B232" s="7"/>
      <c r="C232" s="8"/>
      <c r="D232" s="8"/>
      <c r="E232" s="8"/>
      <c r="F232" s="9"/>
      <c r="G232" s="8"/>
      <c r="H232" s="8"/>
      <c r="I232" s="8"/>
      <c r="J232" s="8"/>
      <c r="K232" s="8"/>
      <c r="L232" s="10"/>
      <c r="M232" s="8"/>
      <c r="N232" s="8"/>
      <c r="O232" s="11"/>
      <c r="P232" s="8"/>
      <c r="Q232" s="8"/>
      <c r="R232" s="8"/>
      <c r="S232" s="6" t="str">
        <f>IF($C232="","",IFERROR(INDEX(Lists!$B$5:$B$16,MATCH(J232,Lists!$A$5:$A$16,0)),0)+IFERROR(INDEX(Lists!$E$5:$E$8,MATCH(K232,Lists!$D$5:$D$8,0)),0)+IFERROR(INDEX(Lists!$H$5:$H$11,MATCH(M232,Lists!$G$5:$G$11,0)),0)+IFERROR(INDEX(Lists!$K$5:$K$9,MATCH(P232,Lists!$J$5:$J$9,0)),0))</f>
        <v/>
      </c>
      <c r="T232" s="6" t="str">
        <f t="shared" si="7"/>
        <v/>
      </c>
      <c r="U232" s="11"/>
      <c r="V232" s="7"/>
      <c r="W232" s="8"/>
      <c r="X232" s="11"/>
    </row>
    <row r="233" spans="1:24" x14ac:dyDescent="0.25">
      <c r="A233" s="6" t="str">
        <f t="shared" si="6"/>
        <v/>
      </c>
      <c r="B233" s="7"/>
      <c r="C233" s="8"/>
      <c r="D233" s="8"/>
      <c r="E233" s="8"/>
      <c r="F233" s="9"/>
      <c r="G233" s="8"/>
      <c r="H233" s="8"/>
      <c r="I233" s="8"/>
      <c r="J233" s="8"/>
      <c r="K233" s="8"/>
      <c r="L233" s="10"/>
      <c r="M233" s="8"/>
      <c r="N233" s="8"/>
      <c r="O233" s="11"/>
      <c r="P233" s="8"/>
      <c r="Q233" s="8"/>
      <c r="R233" s="8"/>
      <c r="S233" s="6" t="str">
        <f>IF($C233="","",IFERROR(INDEX(Lists!$B$5:$B$16,MATCH(J233,Lists!$A$5:$A$16,0)),0)+IFERROR(INDEX(Lists!$E$5:$E$8,MATCH(K233,Lists!$D$5:$D$8,0)),0)+IFERROR(INDEX(Lists!$H$5:$H$11,MATCH(M233,Lists!$G$5:$G$11,0)),0)+IFERROR(INDEX(Lists!$K$5:$K$9,MATCH(P233,Lists!$J$5:$J$9,0)),0))</f>
        <v/>
      </c>
      <c r="T233" s="6" t="str">
        <f t="shared" si="7"/>
        <v/>
      </c>
      <c r="U233" s="11"/>
      <c r="V233" s="7"/>
      <c r="W233" s="8"/>
      <c r="X233" s="11"/>
    </row>
    <row r="234" spans="1:24" x14ac:dyDescent="0.25">
      <c r="A234" s="6" t="str">
        <f t="shared" si="6"/>
        <v/>
      </c>
      <c r="B234" s="7"/>
      <c r="C234" s="8"/>
      <c r="D234" s="8"/>
      <c r="E234" s="8"/>
      <c r="F234" s="9"/>
      <c r="G234" s="8"/>
      <c r="H234" s="8"/>
      <c r="I234" s="8"/>
      <c r="J234" s="8"/>
      <c r="K234" s="8"/>
      <c r="L234" s="10"/>
      <c r="M234" s="8"/>
      <c r="N234" s="8"/>
      <c r="O234" s="11"/>
      <c r="P234" s="8"/>
      <c r="Q234" s="8"/>
      <c r="R234" s="8"/>
      <c r="S234" s="6" t="str">
        <f>IF($C234="","",IFERROR(INDEX(Lists!$B$5:$B$16,MATCH(J234,Lists!$A$5:$A$16,0)),0)+IFERROR(INDEX(Lists!$E$5:$E$8,MATCH(K234,Lists!$D$5:$D$8,0)),0)+IFERROR(INDEX(Lists!$H$5:$H$11,MATCH(M234,Lists!$G$5:$G$11,0)),0)+IFERROR(INDEX(Lists!$K$5:$K$9,MATCH(P234,Lists!$J$5:$J$9,0)),0))</f>
        <v/>
      </c>
      <c r="T234" s="6" t="str">
        <f t="shared" si="7"/>
        <v/>
      </c>
      <c r="U234" s="11"/>
      <c r="V234" s="7"/>
      <c r="W234" s="8"/>
      <c r="X234" s="11"/>
    </row>
    <row r="235" spans="1:24" x14ac:dyDescent="0.25">
      <c r="A235" s="6" t="str">
        <f t="shared" si="6"/>
        <v/>
      </c>
      <c r="B235" s="7"/>
      <c r="C235" s="8"/>
      <c r="D235" s="8"/>
      <c r="E235" s="8"/>
      <c r="F235" s="9"/>
      <c r="G235" s="8"/>
      <c r="H235" s="8"/>
      <c r="I235" s="8"/>
      <c r="J235" s="8"/>
      <c r="K235" s="8"/>
      <c r="L235" s="10"/>
      <c r="M235" s="8"/>
      <c r="N235" s="8"/>
      <c r="O235" s="11"/>
      <c r="P235" s="8"/>
      <c r="Q235" s="8"/>
      <c r="R235" s="8"/>
      <c r="S235" s="6" t="str">
        <f>IF($C235="","",IFERROR(INDEX(Lists!$B$5:$B$16,MATCH(J235,Lists!$A$5:$A$16,0)),0)+IFERROR(INDEX(Lists!$E$5:$E$8,MATCH(K235,Lists!$D$5:$D$8,0)),0)+IFERROR(INDEX(Lists!$H$5:$H$11,MATCH(M235,Lists!$G$5:$G$11,0)),0)+IFERROR(INDEX(Lists!$K$5:$K$9,MATCH(P235,Lists!$J$5:$J$9,0)),0))</f>
        <v/>
      </c>
      <c r="T235" s="6" t="str">
        <f t="shared" si="7"/>
        <v/>
      </c>
      <c r="U235" s="11"/>
      <c r="V235" s="7"/>
      <c r="W235" s="8"/>
      <c r="X235" s="11"/>
    </row>
    <row r="236" spans="1:24" x14ac:dyDescent="0.25">
      <c r="A236" s="6" t="str">
        <f t="shared" si="6"/>
        <v/>
      </c>
      <c r="B236" s="7"/>
      <c r="C236" s="8"/>
      <c r="D236" s="8"/>
      <c r="E236" s="8"/>
      <c r="F236" s="9"/>
      <c r="G236" s="8"/>
      <c r="H236" s="8"/>
      <c r="I236" s="8"/>
      <c r="J236" s="8"/>
      <c r="K236" s="8"/>
      <c r="L236" s="10"/>
      <c r="M236" s="8"/>
      <c r="N236" s="8"/>
      <c r="O236" s="11"/>
      <c r="P236" s="8"/>
      <c r="Q236" s="8"/>
      <c r="R236" s="8"/>
      <c r="S236" s="6" t="str">
        <f>IF($C236="","",IFERROR(INDEX(Lists!$B$5:$B$16,MATCH(J236,Lists!$A$5:$A$16,0)),0)+IFERROR(INDEX(Lists!$E$5:$E$8,MATCH(K236,Lists!$D$5:$D$8,0)),0)+IFERROR(INDEX(Lists!$H$5:$H$11,MATCH(M236,Lists!$G$5:$G$11,0)),0)+IFERROR(INDEX(Lists!$K$5:$K$9,MATCH(P236,Lists!$J$5:$J$9,0)),0))</f>
        <v/>
      </c>
      <c r="T236" s="6" t="str">
        <f t="shared" si="7"/>
        <v/>
      </c>
      <c r="U236" s="11"/>
      <c r="V236" s="7"/>
      <c r="W236" s="8"/>
      <c r="X236" s="11"/>
    </row>
    <row r="237" spans="1:24" x14ac:dyDescent="0.25">
      <c r="A237" s="6" t="str">
        <f t="shared" si="6"/>
        <v/>
      </c>
      <c r="B237" s="7"/>
      <c r="C237" s="8"/>
      <c r="D237" s="8"/>
      <c r="E237" s="8"/>
      <c r="F237" s="9"/>
      <c r="G237" s="8"/>
      <c r="H237" s="8"/>
      <c r="I237" s="8"/>
      <c r="J237" s="8"/>
      <c r="K237" s="8"/>
      <c r="L237" s="10"/>
      <c r="M237" s="8"/>
      <c r="N237" s="8"/>
      <c r="O237" s="11"/>
      <c r="P237" s="8"/>
      <c r="Q237" s="8"/>
      <c r="R237" s="8"/>
      <c r="S237" s="6" t="str">
        <f>IF($C237="","",IFERROR(INDEX(Lists!$B$5:$B$16,MATCH(J237,Lists!$A$5:$A$16,0)),0)+IFERROR(INDEX(Lists!$E$5:$E$8,MATCH(K237,Lists!$D$5:$D$8,0)),0)+IFERROR(INDEX(Lists!$H$5:$H$11,MATCH(M237,Lists!$G$5:$G$11,0)),0)+IFERROR(INDEX(Lists!$K$5:$K$9,MATCH(P237,Lists!$J$5:$J$9,0)),0))</f>
        <v/>
      </c>
      <c r="T237" s="6" t="str">
        <f t="shared" si="7"/>
        <v/>
      </c>
      <c r="U237" s="11"/>
      <c r="V237" s="7"/>
      <c r="W237" s="8"/>
      <c r="X237" s="11"/>
    </row>
    <row r="238" spans="1:24" x14ac:dyDescent="0.25">
      <c r="A238" s="6" t="str">
        <f t="shared" si="6"/>
        <v/>
      </c>
      <c r="B238" s="7"/>
      <c r="C238" s="8"/>
      <c r="D238" s="8"/>
      <c r="E238" s="8"/>
      <c r="F238" s="9"/>
      <c r="G238" s="8"/>
      <c r="H238" s="8"/>
      <c r="I238" s="8"/>
      <c r="J238" s="8"/>
      <c r="K238" s="8"/>
      <c r="L238" s="10"/>
      <c r="M238" s="8"/>
      <c r="N238" s="8"/>
      <c r="O238" s="11"/>
      <c r="P238" s="8"/>
      <c r="Q238" s="8"/>
      <c r="R238" s="8"/>
      <c r="S238" s="6" t="str">
        <f>IF($C238="","",IFERROR(INDEX(Lists!$B$5:$B$16,MATCH(J238,Lists!$A$5:$A$16,0)),0)+IFERROR(INDEX(Lists!$E$5:$E$8,MATCH(K238,Lists!$D$5:$D$8,0)),0)+IFERROR(INDEX(Lists!$H$5:$H$11,MATCH(M238,Lists!$G$5:$G$11,0)),0)+IFERROR(INDEX(Lists!$K$5:$K$9,MATCH(P238,Lists!$J$5:$J$9,0)),0))</f>
        <v/>
      </c>
      <c r="T238" s="6" t="str">
        <f t="shared" si="7"/>
        <v/>
      </c>
      <c r="U238" s="11"/>
      <c r="V238" s="7"/>
      <c r="W238" s="8"/>
      <c r="X238" s="11"/>
    </row>
    <row r="239" spans="1:24" x14ac:dyDescent="0.25">
      <c r="A239" s="6" t="str">
        <f t="shared" si="6"/>
        <v/>
      </c>
      <c r="B239" s="7"/>
      <c r="C239" s="8"/>
      <c r="D239" s="8"/>
      <c r="E239" s="8"/>
      <c r="F239" s="9"/>
      <c r="G239" s="8"/>
      <c r="H239" s="8"/>
      <c r="I239" s="8"/>
      <c r="J239" s="8"/>
      <c r="K239" s="8"/>
      <c r="L239" s="10"/>
      <c r="M239" s="8"/>
      <c r="N239" s="8"/>
      <c r="O239" s="11"/>
      <c r="P239" s="8"/>
      <c r="Q239" s="8"/>
      <c r="R239" s="8"/>
      <c r="S239" s="6" t="str">
        <f>IF($C239="","",IFERROR(INDEX(Lists!$B$5:$B$16,MATCH(J239,Lists!$A$5:$A$16,0)),0)+IFERROR(INDEX(Lists!$E$5:$E$8,MATCH(K239,Lists!$D$5:$D$8,0)),0)+IFERROR(INDEX(Lists!$H$5:$H$11,MATCH(M239,Lists!$G$5:$G$11,0)),0)+IFERROR(INDEX(Lists!$K$5:$K$9,MATCH(P239,Lists!$J$5:$J$9,0)),0))</f>
        <v/>
      </c>
      <c r="T239" s="6" t="str">
        <f t="shared" si="7"/>
        <v/>
      </c>
      <c r="U239" s="11"/>
      <c r="V239" s="7"/>
      <c r="W239" s="8"/>
      <c r="X239" s="11"/>
    </row>
    <row r="240" spans="1:24" x14ac:dyDescent="0.25">
      <c r="A240" s="6" t="str">
        <f t="shared" si="6"/>
        <v/>
      </c>
      <c r="B240" s="7"/>
      <c r="C240" s="8"/>
      <c r="D240" s="8"/>
      <c r="E240" s="8"/>
      <c r="F240" s="9"/>
      <c r="G240" s="8"/>
      <c r="H240" s="8"/>
      <c r="I240" s="8"/>
      <c r="J240" s="8"/>
      <c r="K240" s="8"/>
      <c r="L240" s="10"/>
      <c r="M240" s="8"/>
      <c r="N240" s="8"/>
      <c r="O240" s="11"/>
      <c r="P240" s="8"/>
      <c r="Q240" s="8"/>
      <c r="R240" s="8"/>
      <c r="S240" s="6" t="str">
        <f>IF($C240="","",IFERROR(INDEX(Lists!$B$5:$B$16,MATCH(J240,Lists!$A$5:$A$16,0)),0)+IFERROR(INDEX(Lists!$E$5:$E$8,MATCH(K240,Lists!$D$5:$D$8,0)),0)+IFERROR(INDEX(Lists!$H$5:$H$11,MATCH(M240,Lists!$G$5:$G$11,0)),0)+IFERROR(INDEX(Lists!$K$5:$K$9,MATCH(P240,Lists!$J$5:$J$9,0)),0))</f>
        <v/>
      </c>
      <c r="T240" s="6" t="str">
        <f t="shared" si="7"/>
        <v/>
      </c>
      <c r="U240" s="11"/>
      <c r="V240" s="7"/>
      <c r="W240" s="8"/>
      <c r="X240" s="11"/>
    </row>
    <row r="241" spans="1:24" x14ac:dyDescent="0.25">
      <c r="A241" s="6" t="str">
        <f t="shared" si="6"/>
        <v/>
      </c>
      <c r="B241" s="7"/>
      <c r="C241" s="8"/>
      <c r="D241" s="8"/>
      <c r="E241" s="8"/>
      <c r="F241" s="9"/>
      <c r="G241" s="8"/>
      <c r="H241" s="8"/>
      <c r="I241" s="8"/>
      <c r="J241" s="8"/>
      <c r="K241" s="8"/>
      <c r="L241" s="10"/>
      <c r="M241" s="8"/>
      <c r="N241" s="8"/>
      <c r="O241" s="11"/>
      <c r="P241" s="8"/>
      <c r="Q241" s="8"/>
      <c r="R241" s="8"/>
      <c r="S241" s="6" t="str">
        <f>IF($C241="","",IFERROR(INDEX(Lists!$B$5:$B$16,MATCH(J241,Lists!$A$5:$A$16,0)),0)+IFERROR(INDEX(Lists!$E$5:$E$8,MATCH(K241,Lists!$D$5:$D$8,0)),0)+IFERROR(INDEX(Lists!$H$5:$H$11,MATCH(M241,Lists!$G$5:$G$11,0)),0)+IFERROR(INDEX(Lists!$K$5:$K$9,MATCH(P241,Lists!$J$5:$J$9,0)),0))</f>
        <v/>
      </c>
      <c r="T241" s="6" t="str">
        <f t="shared" si="7"/>
        <v/>
      </c>
      <c r="U241" s="11"/>
      <c r="V241" s="7"/>
      <c r="W241" s="8"/>
      <c r="X241" s="11"/>
    </row>
    <row r="242" spans="1:24" x14ac:dyDescent="0.25">
      <c r="A242" s="6" t="str">
        <f t="shared" si="6"/>
        <v/>
      </c>
      <c r="B242" s="7"/>
      <c r="C242" s="8"/>
      <c r="D242" s="8"/>
      <c r="E242" s="8"/>
      <c r="F242" s="9"/>
      <c r="G242" s="8"/>
      <c r="H242" s="8"/>
      <c r="I242" s="8"/>
      <c r="J242" s="8"/>
      <c r="K242" s="8"/>
      <c r="L242" s="10"/>
      <c r="M242" s="8"/>
      <c r="N242" s="8"/>
      <c r="O242" s="11"/>
      <c r="P242" s="8"/>
      <c r="Q242" s="8"/>
      <c r="R242" s="8"/>
      <c r="S242" s="6" t="str">
        <f>IF($C242="","",IFERROR(INDEX(Lists!$B$5:$B$16,MATCH(J242,Lists!$A$5:$A$16,0)),0)+IFERROR(INDEX(Lists!$E$5:$E$8,MATCH(K242,Lists!$D$5:$D$8,0)),0)+IFERROR(INDEX(Lists!$H$5:$H$11,MATCH(M242,Lists!$G$5:$G$11,0)),0)+IFERROR(INDEX(Lists!$K$5:$K$9,MATCH(P242,Lists!$J$5:$J$9,0)),0))</f>
        <v/>
      </c>
      <c r="T242" s="6" t="str">
        <f t="shared" si="7"/>
        <v/>
      </c>
      <c r="U242" s="11"/>
      <c r="V242" s="7"/>
      <c r="W242" s="8"/>
      <c r="X242" s="11"/>
    </row>
    <row r="243" spans="1:24" x14ac:dyDescent="0.25">
      <c r="A243" s="6" t="str">
        <f t="shared" si="6"/>
        <v/>
      </c>
      <c r="B243" s="7"/>
      <c r="C243" s="8"/>
      <c r="D243" s="8"/>
      <c r="E243" s="8"/>
      <c r="F243" s="9"/>
      <c r="G243" s="8"/>
      <c r="H243" s="8"/>
      <c r="I243" s="8"/>
      <c r="J243" s="8"/>
      <c r="K243" s="8"/>
      <c r="L243" s="10"/>
      <c r="M243" s="8"/>
      <c r="N243" s="8"/>
      <c r="O243" s="11"/>
      <c r="P243" s="8"/>
      <c r="Q243" s="8"/>
      <c r="R243" s="8"/>
      <c r="S243" s="6" t="str">
        <f>IF($C243="","",IFERROR(INDEX(Lists!$B$5:$B$16,MATCH(J243,Lists!$A$5:$A$16,0)),0)+IFERROR(INDEX(Lists!$E$5:$E$8,MATCH(K243,Lists!$D$5:$D$8,0)),0)+IFERROR(INDEX(Lists!$H$5:$H$11,MATCH(M243,Lists!$G$5:$G$11,0)),0)+IFERROR(INDEX(Lists!$K$5:$K$9,MATCH(P243,Lists!$J$5:$J$9,0)),0))</f>
        <v/>
      </c>
      <c r="T243" s="6" t="str">
        <f t="shared" si="7"/>
        <v/>
      </c>
      <c r="U243" s="11"/>
      <c r="V243" s="7"/>
      <c r="W243" s="8"/>
      <c r="X243" s="11"/>
    </row>
    <row r="244" spans="1:24" x14ac:dyDescent="0.25">
      <c r="A244" s="6" t="str">
        <f t="shared" si="6"/>
        <v/>
      </c>
      <c r="B244" s="7"/>
      <c r="C244" s="8"/>
      <c r="D244" s="8"/>
      <c r="E244" s="8"/>
      <c r="F244" s="9"/>
      <c r="G244" s="8"/>
      <c r="H244" s="8"/>
      <c r="I244" s="8"/>
      <c r="J244" s="8"/>
      <c r="K244" s="8"/>
      <c r="L244" s="10"/>
      <c r="M244" s="8"/>
      <c r="N244" s="8"/>
      <c r="O244" s="11"/>
      <c r="P244" s="8"/>
      <c r="Q244" s="8"/>
      <c r="R244" s="8"/>
      <c r="S244" s="6" t="str">
        <f>IF($C244="","",IFERROR(INDEX(Lists!$B$5:$B$16,MATCH(J244,Lists!$A$5:$A$16,0)),0)+IFERROR(INDEX(Lists!$E$5:$E$8,MATCH(K244,Lists!$D$5:$D$8,0)),0)+IFERROR(INDEX(Lists!$H$5:$H$11,MATCH(M244,Lists!$G$5:$G$11,0)),0)+IFERROR(INDEX(Lists!$K$5:$K$9,MATCH(P244,Lists!$J$5:$J$9,0)),0))</f>
        <v/>
      </c>
      <c r="T244" s="6" t="str">
        <f t="shared" si="7"/>
        <v/>
      </c>
      <c r="U244" s="11"/>
      <c r="V244" s="7"/>
      <c r="W244" s="8"/>
      <c r="X244" s="11"/>
    </row>
    <row r="245" spans="1:24" x14ac:dyDescent="0.25">
      <c r="A245" s="6" t="str">
        <f t="shared" si="6"/>
        <v/>
      </c>
      <c r="B245" s="7"/>
      <c r="C245" s="8"/>
      <c r="D245" s="8"/>
      <c r="E245" s="8"/>
      <c r="F245" s="9"/>
      <c r="G245" s="8"/>
      <c r="H245" s="8"/>
      <c r="I245" s="8"/>
      <c r="J245" s="8"/>
      <c r="K245" s="8"/>
      <c r="L245" s="10"/>
      <c r="M245" s="8"/>
      <c r="N245" s="8"/>
      <c r="O245" s="11"/>
      <c r="P245" s="8"/>
      <c r="Q245" s="8"/>
      <c r="R245" s="8"/>
      <c r="S245" s="6" t="str">
        <f>IF($C245="","",IFERROR(INDEX(Lists!$B$5:$B$16,MATCH(J245,Lists!$A$5:$A$16,0)),0)+IFERROR(INDEX(Lists!$E$5:$E$8,MATCH(K245,Lists!$D$5:$D$8,0)),0)+IFERROR(INDEX(Lists!$H$5:$H$11,MATCH(M245,Lists!$G$5:$G$11,0)),0)+IFERROR(INDEX(Lists!$K$5:$K$9,MATCH(P245,Lists!$J$5:$J$9,0)),0))</f>
        <v/>
      </c>
      <c r="T245" s="6" t="str">
        <f t="shared" si="7"/>
        <v/>
      </c>
      <c r="U245" s="11"/>
      <c r="V245" s="7"/>
      <c r="W245" s="8"/>
      <c r="X245" s="11"/>
    </row>
    <row r="246" spans="1:24" x14ac:dyDescent="0.25">
      <c r="A246" s="6" t="str">
        <f t="shared" si="6"/>
        <v/>
      </c>
      <c r="B246" s="7"/>
      <c r="C246" s="8"/>
      <c r="D246" s="8"/>
      <c r="E246" s="8"/>
      <c r="F246" s="9"/>
      <c r="G246" s="8"/>
      <c r="H246" s="8"/>
      <c r="I246" s="8"/>
      <c r="J246" s="8"/>
      <c r="K246" s="8"/>
      <c r="L246" s="10"/>
      <c r="M246" s="8"/>
      <c r="N246" s="8"/>
      <c r="O246" s="11"/>
      <c r="P246" s="8"/>
      <c r="Q246" s="8"/>
      <c r="R246" s="8"/>
      <c r="S246" s="6" t="str">
        <f>IF($C246="","",IFERROR(INDEX(Lists!$B$5:$B$16,MATCH(J246,Lists!$A$5:$A$16,0)),0)+IFERROR(INDEX(Lists!$E$5:$E$8,MATCH(K246,Lists!$D$5:$D$8,0)),0)+IFERROR(INDEX(Lists!$H$5:$H$11,MATCH(M246,Lists!$G$5:$G$11,0)),0)+IFERROR(INDEX(Lists!$K$5:$K$9,MATCH(P246,Lists!$J$5:$J$9,0)),0))</f>
        <v/>
      </c>
      <c r="T246" s="6" t="str">
        <f t="shared" si="7"/>
        <v/>
      </c>
      <c r="U246" s="11"/>
      <c r="V246" s="7"/>
      <c r="W246" s="8"/>
      <c r="X246" s="11"/>
    </row>
    <row r="247" spans="1:24" x14ac:dyDescent="0.25">
      <c r="A247" s="6" t="str">
        <f t="shared" si="6"/>
        <v/>
      </c>
      <c r="B247" s="7"/>
      <c r="C247" s="8"/>
      <c r="D247" s="8"/>
      <c r="E247" s="8"/>
      <c r="F247" s="9"/>
      <c r="G247" s="8"/>
      <c r="H247" s="8"/>
      <c r="I247" s="8"/>
      <c r="J247" s="8"/>
      <c r="K247" s="8"/>
      <c r="L247" s="10"/>
      <c r="M247" s="8"/>
      <c r="N247" s="8"/>
      <c r="O247" s="11"/>
      <c r="P247" s="8"/>
      <c r="Q247" s="8"/>
      <c r="R247" s="8"/>
      <c r="S247" s="6" t="str">
        <f>IF($C247="","",IFERROR(INDEX(Lists!$B$5:$B$16,MATCH(J247,Lists!$A$5:$A$16,0)),0)+IFERROR(INDEX(Lists!$E$5:$E$8,MATCH(K247,Lists!$D$5:$D$8,0)),0)+IFERROR(INDEX(Lists!$H$5:$H$11,MATCH(M247,Lists!$G$5:$G$11,0)),0)+IFERROR(INDEX(Lists!$K$5:$K$9,MATCH(P247,Lists!$J$5:$J$9,0)),0))</f>
        <v/>
      </c>
      <c r="T247" s="6" t="str">
        <f t="shared" si="7"/>
        <v/>
      </c>
      <c r="U247" s="11"/>
      <c r="V247" s="7"/>
      <c r="W247" s="8"/>
      <c r="X247" s="11"/>
    </row>
    <row r="248" spans="1:24" x14ac:dyDescent="0.25">
      <c r="A248" s="6" t="str">
        <f t="shared" si="6"/>
        <v/>
      </c>
      <c r="B248" s="7"/>
      <c r="C248" s="8"/>
      <c r="D248" s="8"/>
      <c r="E248" s="8"/>
      <c r="F248" s="9"/>
      <c r="G248" s="8"/>
      <c r="H248" s="8"/>
      <c r="I248" s="8"/>
      <c r="J248" s="8"/>
      <c r="K248" s="8"/>
      <c r="L248" s="10"/>
      <c r="M248" s="8"/>
      <c r="N248" s="8"/>
      <c r="O248" s="11"/>
      <c r="P248" s="8"/>
      <c r="Q248" s="8"/>
      <c r="R248" s="8"/>
      <c r="S248" s="6" t="str">
        <f>IF($C248="","",IFERROR(INDEX(Lists!$B$5:$B$16,MATCH(J248,Lists!$A$5:$A$16,0)),0)+IFERROR(INDEX(Lists!$E$5:$E$8,MATCH(K248,Lists!$D$5:$D$8,0)),0)+IFERROR(INDEX(Lists!$H$5:$H$11,MATCH(M248,Lists!$G$5:$G$11,0)),0)+IFERROR(INDEX(Lists!$K$5:$K$9,MATCH(P248,Lists!$J$5:$J$9,0)),0))</f>
        <v/>
      </c>
      <c r="T248" s="6" t="str">
        <f t="shared" si="7"/>
        <v/>
      </c>
      <c r="U248" s="11"/>
      <c r="V248" s="7"/>
      <c r="W248" s="8"/>
      <c r="X248" s="11"/>
    </row>
    <row r="249" spans="1:24" x14ac:dyDescent="0.25">
      <c r="A249" s="6" t="str">
        <f t="shared" si="6"/>
        <v/>
      </c>
      <c r="B249" s="7"/>
      <c r="C249" s="8"/>
      <c r="D249" s="8"/>
      <c r="E249" s="8"/>
      <c r="F249" s="9"/>
      <c r="G249" s="8"/>
      <c r="H249" s="8"/>
      <c r="I249" s="8"/>
      <c r="J249" s="8"/>
      <c r="K249" s="8"/>
      <c r="L249" s="10"/>
      <c r="M249" s="8"/>
      <c r="N249" s="8"/>
      <c r="O249" s="11"/>
      <c r="P249" s="8"/>
      <c r="Q249" s="8"/>
      <c r="R249" s="8"/>
      <c r="S249" s="6" t="str">
        <f>IF($C249="","",IFERROR(INDEX(Lists!$B$5:$B$16,MATCH(J249,Lists!$A$5:$A$16,0)),0)+IFERROR(INDEX(Lists!$E$5:$E$8,MATCH(K249,Lists!$D$5:$D$8,0)),0)+IFERROR(INDEX(Lists!$H$5:$H$11,MATCH(M249,Lists!$G$5:$G$11,0)),0)+IFERROR(INDEX(Lists!$K$5:$K$9,MATCH(P249,Lists!$J$5:$J$9,0)),0))</f>
        <v/>
      </c>
      <c r="T249" s="6" t="str">
        <f t="shared" si="7"/>
        <v/>
      </c>
      <c r="U249" s="11"/>
      <c r="V249" s="7"/>
      <c r="W249" s="8"/>
      <c r="X249" s="11"/>
    </row>
    <row r="250" spans="1:24" x14ac:dyDescent="0.25">
      <c r="A250" s="6" t="str">
        <f t="shared" si="6"/>
        <v/>
      </c>
      <c r="B250" s="7"/>
      <c r="C250" s="8"/>
      <c r="D250" s="8"/>
      <c r="E250" s="8"/>
      <c r="F250" s="9"/>
      <c r="G250" s="8"/>
      <c r="H250" s="8"/>
      <c r="I250" s="8"/>
      <c r="J250" s="8"/>
      <c r="K250" s="8"/>
      <c r="L250" s="10"/>
      <c r="M250" s="8"/>
      <c r="N250" s="8"/>
      <c r="O250" s="11"/>
      <c r="P250" s="8"/>
      <c r="Q250" s="8"/>
      <c r="R250" s="8"/>
      <c r="S250" s="6" t="str">
        <f>IF($C250="","",IFERROR(INDEX(Lists!$B$5:$B$16,MATCH(J250,Lists!$A$5:$A$16,0)),0)+IFERROR(INDEX(Lists!$E$5:$E$8,MATCH(K250,Lists!$D$5:$D$8,0)),0)+IFERROR(INDEX(Lists!$H$5:$H$11,MATCH(M250,Lists!$G$5:$G$11,0)),0)+IFERROR(INDEX(Lists!$K$5:$K$9,MATCH(P250,Lists!$J$5:$J$9,0)),0))</f>
        <v/>
      </c>
      <c r="T250" s="6" t="str">
        <f t="shared" si="7"/>
        <v/>
      </c>
      <c r="U250" s="11"/>
      <c r="V250" s="7"/>
      <c r="W250" s="8"/>
      <c r="X250" s="11"/>
    </row>
    <row r="251" spans="1:24" x14ac:dyDescent="0.25">
      <c r="A251" s="6" t="str">
        <f t="shared" si="6"/>
        <v/>
      </c>
      <c r="B251" s="7"/>
      <c r="C251" s="8"/>
      <c r="D251" s="8"/>
      <c r="E251" s="8"/>
      <c r="F251" s="9"/>
      <c r="G251" s="8"/>
      <c r="H251" s="8"/>
      <c r="I251" s="8"/>
      <c r="J251" s="8"/>
      <c r="K251" s="8"/>
      <c r="L251" s="10"/>
      <c r="M251" s="8"/>
      <c r="N251" s="8"/>
      <c r="O251" s="11"/>
      <c r="P251" s="8"/>
      <c r="Q251" s="8"/>
      <c r="R251" s="8"/>
      <c r="S251" s="6" t="str">
        <f>IF($C251="","",IFERROR(INDEX(Lists!$B$5:$B$16,MATCH(J251,Lists!$A$5:$A$16,0)),0)+IFERROR(INDEX(Lists!$E$5:$E$8,MATCH(K251,Lists!$D$5:$D$8,0)),0)+IFERROR(INDEX(Lists!$H$5:$H$11,MATCH(M251,Lists!$G$5:$G$11,0)),0)+IFERROR(INDEX(Lists!$K$5:$K$9,MATCH(P251,Lists!$J$5:$J$9,0)),0))</f>
        <v/>
      </c>
      <c r="T251" s="6" t="str">
        <f t="shared" si="7"/>
        <v/>
      </c>
      <c r="U251" s="11"/>
      <c r="V251" s="7"/>
      <c r="W251" s="8"/>
      <c r="X251" s="11"/>
    </row>
    <row r="252" spans="1:24" x14ac:dyDescent="0.25">
      <c r="A252" s="6" t="str">
        <f t="shared" si="6"/>
        <v/>
      </c>
      <c r="B252" s="7"/>
      <c r="C252" s="8"/>
      <c r="D252" s="8"/>
      <c r="E252" s="8"/>
      <c r="F252" s="9"/>
      <c r="G252" s="8"/>
      <c r="H252" s="8"/>
      <c r="I252" s="8"/>
      <c r="J252" s="8"/>
      <c r="K252" s="8"/>
      <c r="L252" s="10"/>
      <c r="M252" s="8"/>
      <c r="N252" s="8"/>
      <c r="O252" s="11"/>
      <c r="P252" s="8"/>
      <c r="Q252" s="8"/>
      <c r="R252" s="8"/>
      <c r="S252" s="6" t="str">
        <f>IF($C252="","",IFERROR(INDEX(Lists!$B$5:$B$16,MATCH(J252,Lists!$A$5:$A$16,0)),0)+IFERROR(INDEX(Lists!$E$5:$E$8,MATCH(K252,Lists!$D$5:$D$8,0)),0)+IFERROR(INDEX(Lists!$H$5:$H$11,MATCH(M252,Lists!$G$5:$G$11,0)),0)+IFERROR(INDEX(Lists!$K$5:$K$9,MATCH(P252,Lists!$J$5:$J$9,0)),0))</f>
        <v/>
      </c>
      <c r="T252" s="6" t="str">
        <f t="shared" si="7"/>
        <v/>
      </c>
      <c r="U252" s="11"/>
      <c r="V252" s="7"/>
      <c r="W252" s="8"/>
      <c r="X252" s="11"/>
    </row>
    <row r="253" spans="1:24" x14ac:dyDescent="0.25">
      <c r="A253" s="6" t="str">
        <f t="shared" si="6"/>
        <v/>
      </c>
      <c r="B253" s="7"/>
      <c r="C253" s="8"/>
      <c r="D253" s="8"/>
      <c r="E253" s="8"/>
      <c r="F253" s="9"/>
      <c r="G253" s="8"/>
      <c r="H253" s="8"/>
      <c r="I253" s="8"/>
      <c r="J253" s="8"/>
      <c r="K253" s="8"/>
      <c r="L253" s="10"/>
      <c r="M253" s="8"/>
      <c r="N253" s="8"/>
      <c r="O253" s="11"/>
      <c r="P253" s="8"/>
      <c r="Q253" s="8"/>
      <c r="R253" s="8"/>
      <c r="S253" s="6" t="str">
        <f>IF($C253="","",IFERROR(INDEX(Lists!$B$5:$B$16,MATCH(J253,Lists!$A$5:$A$16,0)),0)+IFERROR(INDEX(Lists!$E$5:$E$8,MATCH(K253,Lists!$D$5:$D$8,0)),0)+IFERROR(INDEX(Lists!$H$5:$H$11,MATCH(M253,Lists!$G$5:$G$11,0)),0)+IFERROR(INDEX(Lists!$K$5:$K$9,MATCH(P253,Lists!$J$5:$J$9,0)),0))</f>
        <v/>
      </c>
      <c r="T253" s="6" t="str">
        <f t="shared" si="7"/>
        <v/>
      </c>
      <c r="U253" s="11"/>
      <c r="V253" s="7"/>
      <c r="W253" s="8"/>
      <c r="X253" s="11"/>
    </row>
    <row r="254" spans="1:24" x14ac:dyDescent="0.25">
      <c r="A254" s="6" t="str">
        <f t="shared" si="6"/>
        <v/>
      </c>
      <c r="B254" s="7"/>
      <c r="C254" s="8"/>
      <c r="D254" s="8"/>
      <c r="E254" s="8"/>
      <c r="F254" s="9"/>
      <c r="G254" s="8"/>
      <c r="H254" s="8"/>
      <c r="I254" s="8"/>
      <c r="J254" s="8"/>
      <c r="K254" s="8"/>
      <c r="L254" s="10"/>
      <c r="M254" s="8"/>
      <c r="N254" s="8"/>
      <c r="O254" s="11"/>
      <c r="P254" s="8"/>
      <c r="Q254" s="8"/>
      <c r="R254" s="8"/>
      <c r="S254" s="6" t="str">
        <f>IF($C254="","",IFERROR(INDEX(Lists!$B$5:$B$16,MATCH(J254,Lists!$A$5:$A$16,0)),0)+IFERROR(INDEX(Lists!$E$5:$E$8,MATCH(K254,Lists!$D$5:$D$8,0)),0)+IFERROR(INDEX(Lists!$H$5:$H$11,MATCH(M254,Lists!$G$5:$G$11,0)),0)+IFERROR(INDEX(Lists!$K$5:$K$9,MATCH(P254,Lists!$J$5:$J$9,0)),0))</f>
        <v/>
      </c>
      <c r="T254" s="6" t="str">
        <f t="shared" si="7"/>
        <v/>
      </c>
      <c r="U254" s="11"/>
      <c r="V254" s="7"/>
      <c r="W254" s="8"/>
      <c r="X254" s="11"/>
    </row>
    <row r="255" spans="1:24" x14ac:dyDescent="0.25">
      <c r="A255" s="6" t="str">
        <f t="shared" si="6"/>
        <v/>
      </c>
      <c r="B255" s="7"/>
      <c r="C255" s="8"/>
      <c r="D255" s="8"/>
      <c r="E255" s="8"/>
      <c r="F255" s="9"/>
      <c r="G255" s="8"/>
      <c r="H255" s="8"/>
      <c r="I255" s="8"/>
      <c r="J255" s="8"/>
      <c r="K255" s="8"/>
      <c r="L255" s="10"/>
      <c r="M255" s="8"/>
      <c r="N255" s="8"/>
      <c r="O255" s="11"/>
      <c r="P255" s="8"/>
      <c r="Q255" s="8"/>
      <c r="R255" s="8"/>
      <c r="S255" s="6" t="str">
        <f>IF($C255="","",IFERROR(INDEX(Lists!$B$5:$B$16,MATCH(J255,Lists!$A$5:$A$16,0)),0)+IFERROR(INDEX(Lists!$E$5:$E$8,MATCH(K255,Lists!$D$5:$D$8,0)),0)+IFERROR(INDEX(Lists!$H$5:$H$11,MATCH(M255,Lists!$G$5:$G$11,0)),0)+IFERROR(INDEX(Lists!$K$5:$K$9,MATCH(P255,Lists!$J$5:$J$9,0)),0))</f>
        <v/>
      </c>
      <c r="T255" s="6" t="str">
        <f t="shared" si="7"/>
        <v/>
      </c>
      <c r="U255" s="11"/>
      <c r="V255" s="7"/>
      <c r="W255" s="8"/>
      <c r="X255" s="11"/>
    </row>
    <row r="256" spans="1:24" x14ac:dyDescent="0.25">
      <c r="A256" s="6" t="str">
        <f t="shared" si="6"/>
        <v/>
      </c>
      <c r="B256" s="7"/>
      <c r="C256" s="8"/>
      <c r="D256" s="8"/>
      <c r="E256" s="8"/>
      <c r="F256" s="9"/>
      <c r="G256" s="8"/>
      <c r="H256" s="8"/>
      <c r="I256" s="8"/>
      <c r="J256" s="8"/>
      <c r="K256" s="8"/>
      <c r="L256" s="10"/>
      <c r="M256" s="8"/>
      <c r="N256" s="8"/>
      <c r="O256" s="11"/>
      <c r="P256" s="8"/>
      <c r="Q256" s="8"/>
      <c r="R256" s="8"/>
      <c r="S256" s="6" t="str">
        <f>IF($C256="","",IFERROR(INDEX(Lists!$B$5:$B$16,MATCH(J256,Lists!$A$5:$A$16,0)),0)+IFERROR(INDEX(Lists!$E$5:$E$8,MATCH(K256,Lists!$D$5:$D$8,0)),0)+IFERROR(INDEX(Lists!$H$5:$H$11,MATCH(M256,Lists!$G$5:$G$11,0)),0)+IFERROR(INDEX(Lists!$K$5:$K$9,MATCH(P256,Lists!$J$5:$J$9,0)),0))</f>
        <v/>
      </c>
      <c r="T256" s="6" t="str">
        <f t="shared" si="7"/>
        <v/>
      </c>
      <c r="U256" s="11"/>
      <c r="V256" s="7"/>
      <c r="W256" s="8"/>
      <c r="X256" s="11"/>
    </row>
    <row r="257" spans="1:24" x14ac:dyDescent="0.25">
      <c r="A257" s="6" t="str">
        <f t="shared" si="6"/>
        <v/>
      </c>
      <c r="B257" s="7"/>
      <c r="C257" s="8"/>
      <c r="D257" s="8"/>
      <c r="E257" s="8"/>
      <c r="F257" s="9"/>
      <c r="G257" s="8"/>
      <c r="H257" s="8"/>
      <c r="I257" s="8"/>
      <c r="J257" s="8"/>
      <c r="K257" s="8"/>
      <c r="L257" s="10"/>
      <c r="M257" s="8"/>
      <c r="N257" s="8"/>
      <c r="O257" s="11"/>
      <c r="P257" s="8"/>
      <c r="Q257" s="8"/>
      <c r="R257" s="8"/>
      <c r="S257" s="6" t="str">
        <f>IF($C257="","",IFERROR(INDEX(Lists!$B$5:$B$16,MATCH(J257,Lists!$A$5:$A$16,0)),0)+IFERROR(INDEX(Lists!$E$5:$E$8,MATCH(K257,Lists!$D$5:$D$8,0)),0)+IFERROR(INDEX(Lists!$H$5:$H$11,MATCH(M257,Lists!$G$5:$G$11,0)),0)+IFERROR(INDEX(Lists!$K$5:$K$9,MATCH(P257,Lists!$J$5:$J$9,0)),0))</f>
        <v/>
      </c>
      <c r="T257" s="6" t="str">
        <f t="shared" si="7"/>
        <v/>
      </c>
      <c r="U257" s="11"/>
      <c r="V257" s="7"/>
      <c r="W257" s="8"/>
      <c r="X257" s="11"/>
    </row>
    <row r="258" spans="1:24" x14ac:dyDescent="0.25">
      <c r="A258" s="6" t="str">
        <f t="shared" si="6"/>
        <v/>
      </c>
      <c r="B258" s="7"/>
      <c r="C258" s="8"/>
      <c r="D258" s="8"/>
      <c r="E258" s="8"/>
      <c r="F258" s="9"/>
      <c r="G258" s="8"/>
      <c r="H258" s="8"/>
      <c r="I258" s="8"/>
      <c r="J258" s="8"/>
      <c r="K258" s="8"/>
      <c r="L258" s="10"/>
      <c r="M258" s="8"/>
      <c r="N258" s="8"/>
      <c r="O258" s="11"/>
      <c r="P258" s="8"/>
      <c r="Q258" s="8"/>
      <c r="R258" s="8"/>
      <c r="S258" s="6" t="str">
        <f>IF($C258="","",IFERROR(INDEX(Lists!$B$5:$B$16,MATCH(J258,Lists!$A$5:$A$16,0)),0)+IFERROR(INDEX(Lists!$E$5:$E$8,MATCH(K258,Lists!$D$5:$D$8,0)),0)+IFERROR(INDEX(Lists!$H$5:$H$11,MATCH(M258,Lists!$G$5:$G$11,0)),0)+IFERROR(INDEX(Lists!$K$5:$K$9,MATCH(P258,Lists!$J$5:$J$9,0)),0))</f>
        <v/>
      </c>
      <c r="T258" s="6" t="str">
        <f t="shared" si="7"/>
        <v/>
      </c>
      <c r="U258" s="11"/>
      <c r="V258" s="7"/>
      <c r="W258" s="8"/>
      <c r="X258" s="11"/>
    </row>
    <row r="259" spans="1:24" x14ac:dyDescent="0.25">
      <c r="A259" s="6" t="str">
        <f t="shared" si="6"/>
        <v/>
      </c>
      <c r="B259" s="7"/>
      <c r="C259" s="8"/>
      <c r="D259" s="8"/>
      <c r="E259" s="8"/>
      <c r="F259" s="9"/>
      <c r="G259" s="8"/>
      <c r="H259" s="8"/>
      <c r="I259" s="8"/>
      <c r="J259" s="8"/>
      <c r="K259" s="8"/>
      <c r="L259" s="10"/>
      <c r="M259" s="8"/>
      <c r="N259" s="8"/>
      <c r="O259" s="11"/>
      <c r="P259" s="8"/>
      <c r="Q259" s="8"/>
      <c r="R259" s="8"/>
      <c r="S259" s="6" t="str">
        <f>IF($C259="","",IFERROR(INDEX(Lists!$B$5:$B$16,MATCH(J259,Lists!$A$5:$A$16,0)),0)+IFERROR(INDEX(Lists!$E$5:$E$8,MATCH(K259,Lists!$D$5:$D$8,0)),0)+IFERROR(INDEX(Lists!$H$5:$H$11,MATCH(M259,Lists!$G$5:$G$11,0)),0)+IFERROR(INDEX(Lists!$K$5:$K$9,MATCH(P259,Lists!$J$5:$J$9,0)),0))</f>
        <v/>
      </c>
      <c r="T259" s="6" t="str">
        <f t="shared" si="7"/>
        <v/>
      </c>
      <c r="U259" s="11"/>
      <c r="V259" s="7"/>
      <c r="W259" s="8"/>
      <c r="X259" s="11"/>
    </row>
    <row r="260" spans="1:24" x14ac:dyDescent="0.25">
      <c r="A260" s="6" t="str">
        <f t="shared" si="6"/>
        <v/>
      </c>
      <c r="B260" s="7"/>
      <c r="C260" s="8"/>
      <c r="D260" s="8"/>
      <c r="E260" s="8"/>
      <c r="F260" s="9"/>
      <c r="G260" s="8"/>
      <c r="H260" s="8"/>
      <c r="I260" s="8"/>
      <c r="J260" s="8"/>
      <c r="K260" s="8"/>
      <c r="L260" s="10"/>
      <c r="M260" s="8"/>
      <c r="N260" s="8"/>
      <c r="O260" s="11"/>
      <c r="P260" s="8"/>
      <c r="Q260" s="8"/>
      <c r="R260" s="8"/>
      <c r="S260" s="6" t="str">
        <f>IF($C260="","",IFERROR(INDEX(Lists!$B$5:$B$16,MATCH(J260,Lists!$A$5:$A$16,0)),0)+IFERROR(INDEX(Lists!$E$5:$E$8,MATCH(K260,Lists!$D$5:$D$8,0)),0)+IFERROR(INDEX(Lists!$H$5:$H$11,MATCH(M260,Lists!$G$5:$G$11,0)),0)+IFERROR(INDEX(Lists!$K$5:$K$9,MATCH(P260,Lists!$J$5:$J$9,0)),0))</f>
        <v/>
      </c>
      <c r="T260" s="6" t="str">
        <f t="shared" si="7"/>
        <v/>
      </c>
      <c r="U260" s="11"/>
      <c r="V260" s="7"/>
      <c r="W260" s="8"/>
      <c r="X260" s="11"/>
    </row>
    <row r="261" spans="1:24" x14ac:dyDescent="0.25">
      <c r="A261" s="6" t="str">
        <f t="shared" ref="A261:A304" si="8">IF($C261="","","L-"&amp;TEXT(ROW()-4,"000"))</f>
        <v/>
      </c>
      <c r="B261" s="7"/>
      <c r="C261" s="8"/>
      <c r="D261" s="8"/>
      <c r="E261" s="8"/>
      <c r="F261" s="9"/>
      <c r="G261" s="8"/>
      <c r="H261" s="8"/>
      <c r="I261" s="8"/>
      <c r="J261" s="8"/>
      <c r="K261" s="8"/>
      <c r="L261" s="10"/>
      <c r="M261" s="8"/>
      <c r="N261" s="8"/>
      <c r="O261" s="11"/>
      <c r="P261" s="8"/>
      <c r="Q261" s="8"/>
      <c r="R261" s="8"/>
      <c r="S261" s="6" t="str">
        <f>IF($C261="","",IFERROR(INDEX(Lists!$B$5:$B$16,MATCH(J261,Lists!$A$5:$A$16,0)),0)+IFERROR(INDEX(Lists!$E$5:$E$8,MATCH(K261,Lists!$D$5:$D$8,0)),0)+IFERROR(INDEX(Lists!$H$5:$H$11,MATCH(M261,Lists!$G$5:$G$11,0)),0)+IFERROR(INDEX(Lists!$K$5:$K$9,MATCH(P261,Lists!$J$5:$J$9,0)),0))</f>
        <v/>
      </c>
      <c r="T261" s="6" t="str">
        <f t="shared" ref="T261:T324" si="9">IF($C261="","",IF(AND(S261&gt;=75,LEFT(P261,3)="Yes"),"Hot",IF(S261&gt;=55,"Warm","Cold")))</f>
        <v/>
      </c>
      <c r="U261" s="11"/>
      <c r="V261" s="7"/>
      <c r="W261" s="8"/>
      <c r="X261" s="11"/>
    </row>
    <row r="262" spans="1:24" x14ac:dyDescent="0.25">
      <c r="A262" s="6" t="str">
        <f t="shared" si="8"/>
        <v/>
      </c>
      <c r="B262" s="7"/>
      <c r="C262" s="8"/>
      <c r="D262" s="8"/>
      <c r="E262" s="8"/>
      <c r="F262" s="9"/>
      <c r="G262" s="8"/>
      <c r="H262" s="8"/>
      <c r="I262" s="8"/>
      <c r="J262" s="8"/>
      <c r="K262" s="8"/>
      <c r="L262" s="10"/>
      <c r="M262" s="8"/>
      <c r="N262" s="8"/>
      <c r="O262" s="11"/>
      <c r="P262" s="8"/>
      <c r="Q262" s="8"/>
      <c r="R262" s="8"/>
      <c r="S262" s="6" t="str">
        <f>IF($C262="","",IFERROR(INDEX(Lists!$B$5:$B$16,MATCH(J262,Lists!$A$5:$A$16,0)),0)+IFERROR(INDEX(Lists!$E$5:$E$8,MATCH(K262,Lists!$D$5:$D$8,0)),0)+IFERROR(INDEX(Lists!$H$5:$H$11,MATCH(M262,Lists!$G$5:$G$11,0)),0)+IFERROR(INDEX(Lists!$K$5:$K$9,MATCH(P262,Lists!$J$5:$J$9,0)),0))</f>
        <v/>
      </c>
      <c r="T262" s="6" t="str">
        <f t="shared" si="9"/>
        <v/>
      </c>
      <c r="U262" s="11"/>
      <c r="V262" s="7"/>
      <c r="W262" s="8"/>
      <c r="X262" s="11"/>
    </row>
    <row r="263" spans="1:24" x14ac:dyDescent="0.25">
      <c r="A263" s="6" t="str">
        <f t="shared" si="8"/>
        <v/>
      </c>
      <c r="B263" s="7"/>
      <c r="C263" s="8"/>
      <c r="D263" s="8"/>
      <c r="E263" s="8"/>
      <c r="F263" s="9"/>
      <c r="G263" s="8"/>
      <c r="H263" s="8"/>
      <c r="I263" s="8"/>
      <c r="J263" s="8"/>
      <c r="K263" s="8"/>
      <c r="L263" s="10"/>
      <c r="M263" s="8"/>
      <c r="N263" s="8"/>
      <c r="O263" s="11"/>
      <c r="P263" s="8"/>
      <c r="Q263" s="8"/>
      <c r="R263" s="8"/>
      <c r="S263" s="6" t="str">
        <f>IF($C263="","",IFERROR(INDEX(Lists!$B$5:$B$16,MATCH(J263,Lists!$A$5:$A$16,0)),0)+IFERROR(INDEX(Lists!$E$5:$E$8,MATCH(K263,Lists!$D$5:$D$8,0)),0)+IFERROR(INDEX(Lists!$H$5:$H$11,MATCH(M263,Lists!$G$5:$G$11,0)),0)+IFERROR(INDEX(Lists!$K$5:$K$9,MATCH(P263,Lists!$J$5:$J$9,0)),0))</f>
        <v/>
      </c>
      <c r="T263" s="6" t="str">
        <f t="shared" si="9"/>
        <v/>
      </c>
      <c r="U263" s="11"/>
      <c r="V263" s="7"/>
      <c r="W263" s="8"/>
      <c r="X263" s="11"/>
    </row>
    <row r="264" spans="1:24" x14ac:dyDescent="0.25">
      <c r="A264" s="6" t="str">
        <f t="shared" si="8"/>
        <v/>
      </c>
      <c r="B264" s="7"/>
      <c r="C264" s="8"/>
      <c r="D264" s="8"/>
      <c r="E264" s="8"/>
      <c r="F264" s="9"/>
      <c r="G264" s="8"/>
      <c r="H264" s="8"/>
      <c r="I264" s="8"/>
      <c r="J264" s="8"/>
      <c r="K264" s="8"/>
      <c r="L264" s="10"/>
      <c r="M264" s="8"/>
      <c r="N264" s="8"/>
      <c r="O264" s="11"/>
      <c r="P264" s="8"/>
      <c r="Q264" s="8"/>
      <c r="R264" s="8"/>
      <c r="S264" s="6" t="str">
        <f>IF($C264="","",IFERROR(INDEX(Lists!$B$5:$B$16,MATCH(J264,Lists!$A$5:$A$16,0)),0)+IFERROR(INDEX(Lists!$E$5:$E$8,MATCH(K264,Lists!$D$5:$D$8,0)),0)+IFERROR(INDEX(Lists!$H$5:$H$11,MATCH(M264,Lists!$G$5:$G$11,0)),0)+IFERROR(INDEX(Lists!$K$5:$K$9,MATCH(P264,Lists!$J$5:$J$9,0)),0))</f>
        <v/>
      </c>
      <c r="T264" s="6" t="str">
        <f t="shared" si="9"/>
        <v/>
      </c>
      <c r="U264" s="11"/>
      <c r="V264" s="7"/>
      <c r="W264" s="8"/>
      <c r="X264" s="11"/>
    </row>
    <row r="265" spans="1:24" x14ac:dyDescent="0.25">
      <c r="A265" s="6" t="str">
        <f t="shared" si="8"/>
        <v/>
      </c>
      <c r="B265" s="7"/>
      <c r="C265" s="8"/>
      <c r="D265" s="8"/>
      <c r="E265" s="8"/>
      <c r="F265" s="9"/>
      <c r="G265" s="8"/>
      <c r="H265" s="8"/>
      <c r="I265" s="8"/>
      <c r="J265" s="8"/>
      <c r="K265" s="8"/>
      <c r="L265" s="10"/>
      <c r="M265" s="8"/>
      <c r="N265" s="8"/>
      <c r="O265" s="11"/>
      <c r="P265" s="8"/>
      <c r="Q265" s="8"/>
      <c r="R265" s="8"/>
      <c r="S265" s="6" t="str">
        <f>IF($C265="","",IFERROR(INDEX(Lists!$B$5:$B$16,MATCH(J265,Lists!$A$5:$A$16,0)),0)+IFERROR(INDEX(Lists!$E$5:$E$8,MATCH(K265,Lists!$D$5:$D$8,0)),0)+IFERROR(INDEX(Lists!$H$5:$H$11,MATCH(M265,Lists!$G$5:$G$11,0)),0)+IFERROR(INDEX(Lists!$K$5:$K$9,MATCH(P265,Lists!$J$5:$J$9,0)),0))</f>
        <v/>
      </c>
      <c r="T265" s="6" t="str">
        <f t="shared" si="9"/>
        <v/>
      </c>
      <c r="U265" s="11"/>
      <c r="V265" s="7"/>
      <c r="W265" s="8"/>
      <c r="X265" s="11"/>
    </row>
    <row r="266" spans="1:24" x14ac:dyDescent="0.25">
      <c r="A266" s="6" t="str">
        <f t="shared" si="8"/>
        <v/>
      </c>
      <c r="B266" s="7"/>
      <c r="C266" s="8"/>
      <c r="D266" s="8"/>
      <c r="E266" s="8"/>
      <c r="F266" s="9"/>
      <c r="G266" s="8"/>
      <c r="H266" s="8"/>
      <c r="I266" s="8"/>
      <c r="J266" s="8"/>
      <c r="K266" s="8"/>
      <c r="L266" s="10"/>
      <c r="M266" s="8"/>
      <c r="N266" s="8"/>
      <c r="O266" s="11"/>
      <c r="P266" s="8"/>
      <c r="Q266" s="8"/>
      <c r="R266" s="8"/>
      <c r="S266" s="6" t="str">
        <f>IF($C266="","",IFERROR(INDEX(Lists!$B$5:$B$16,MATCH(J266,Lists!$A$5:$A$16,0)),0)+IFERROR(INDEX(Lists!$E$5:$E$8,MATCH(K266,Lists!$D$5:$D$8,0)),0)+IFERROR(INDEX(Lists!$H$5:$H$11,MATCH(M266,Lists!$G$5:$G$11,0)),0)+IFERROR(INDEX(Lists!$K$5:$K$9,MATCH(P266,Lists!$J$5:$J$9,0)),0))</f>
        <v/>
      </c>
      <c r="T266" s="6" t="str">
        <f t="shared" si="9"/>
        <v/>
      </c>
      <c r="U266" s="11"/>
      <c r="V266" s="7"/>
      <c r="W266" s="8"/>
      <c r="X266" s="11"/>
    </row>
    <row r="267" spans="1:24" x14ac:dyDescent="0.25">
      <c r="A267" s="6" t="str">
        <f t="shared" si="8"/>
        <v/>
      </c>
      <c r="B267" s="7"/>
      <c r="C267" s="8"/>
      <c r="D267" s="8"/>
      <c r="E267" s="8"/>
      <c r="F267" s="9"/>
      <c r="G267" s="8"/>
      <c r="H267" s="8"/>
      <c r="I267" s="8"/>
      <c r="J267" s="8"/>
      <c r="K267" s="8"/>
      <c r="L267" s="10"/>
      <c r="M267" s="8"/>
      <c r="N267" s="8"/>
      <c r="O267" s="11"/>
      <c r="P267" s="8"/>
      <c r="Q267" s="8"/>
      <c r="R267" s="8"/>
      <c r="S267" s="6" t="str">
        <f>IF($C267="","",IFERROR(INDEX(Lists!$B$5:$B$16,MATCH(J267,Lists!$A$5:$A$16,0)),0)+IFERROR(INDEX(Lists!$E$5:$E$8,MATCH(K267,Lists!$D$5:$D$8,0)),0)+IFERROR(INDEX(Lists!$H$5:$H$11,MATCH(M267,Lists!$G$5:$G$11,0)),0)+IFERROR(INDEX(Lists!$K$5:$K$9,MATCH(P267,Lists!$J$5:$J$9,0)),0))</f>
        <v/>
      </c>
      <c r="T267" s="6" t="str">
        <f t="shared" si="9"/>
        <v/>
      </c>
      <c r="U267" s="11"/>
      <c r="V267" s="7"/>
      <c r="W267" s="8"/>
      <c r="X267" s="11"/>
    </row>
    <row r="268" spans="1:24" x14ac:dyDescent="0.25">
      <c r="A268" s="6" t="str">
        <f t="shared" si="8"/>
        <v/>
      </c>
      <c r="B268" s="7"/>
      <c r="C268" s="8"/>
      <c r="D268" s="8"/>
      <c r="E268" s="8"/>
      <c r="F268" s="9"/>
      <c r="G268" s="8"/>
      <c r="H268" s="8"/>
      <c r="I268" s="8"/>
      <c r="J268" s="8"/>
      <c r="K268" s="8"/>
      <c r="L268" s="10"/>
      <c r="M268" s="8"/>
      <c r="N268" s="8"/>
      <c r="O268" s="11"/>
      <c r="P268" s="8"/>
      <c r="Q268" s="8"/>
      <c r="R268" s="8"/>
      <c r="S268" s="6" t="str">
        <f>IF($C268="","",IFERROR(INDEX(Lists!$B$5:$B$16,MATCH(J268,Lists!$A$5:$A$16,0)),0)+IFERROR(INDEX(Lists!$E$5:$E$8,MATCH(K268,Lists!$D$5:$D$8,0)),0)+IFERROR(INDEX(Lists!$H$5:$H$11,MATCH(M268,Lists!$G$5:$G$11,0)),0)+IFERROR(INDEX(Lists!$K$5:$K$9,MATCH(P268,Lists!$J$5:$J$9,0)),0))</f>
        <v/>
      </c>
      <c r="T268" s="6" t="str">
        <f t="shared" si="9"/>
        <v/>
      </c>
      <c r="U268" s="11"/>
      <c r="V268" s="7"/>
      <c r="W268" s="8"/>
      <c r="X268" s="11"/>
    </row>
    <row r="269" spans="1:24" x14ac:dyDescent="0.25">
      <c r="A269" s="6" t="str">
        <f t="shared" si="8"/>
        <v/>
      </c>
      <c r="B269" s="7"/>
      <c r="C269" s="8"/>
      <c r="D269" s="8"/>
      <c r="E269" s="8"/>
      <c r="F269" s="9"/>
      <c r="G269" s="8"/>
      <c r="H269" s="8"/>
      <c r="I269" s="8"/>
      <c r="J269" s="8"/>
      <c r="K269" s="8"/>
      <c r="L269" s="10"/>
      <c r="M269" s="8"/>
      <c r="N269" s="8"/>
      <c r="O269" s="11"/>
      <c r="P269" s="8"/>
      <c r="Q269" s="8"/>
      <c r="R269" s="8"/>
      <c r="S269" s="6" t="str">
        <f>IF($C269="","",IFERROR(INDEX(Lists!$B$5:$B$16,MATCH(J269,Lists!$A$5:$A$16,0)),0)+IFERROR(INDEX(Lists!$E$5:$E$8,MATCH(K269,Lists!$D$5:$D$8,0)),0)+IFERROR(INDEX(Lists!$H$5:$H$11,MATCH(M269,Lists!$G$5:$G$11,0)),0)+IFERROR(INDEX(Lists!$K$5:$K$9,MATCH(P269,Lists!$J$5:$J$9,0)),0))</f>
        <v/>
      </c>
      <c r="T269" s="6" t="str">
        <f t="shared" si="9"/>
        <v/>
      </c>
      <c r="U269" s="11"/>
      <c r="V269" s="7"/>
      <c r="W269" s="8"/>
      <c r="X269" s="11"/>
    </row>
    <row r="270" spans="1:24" x14ac:dyDescent="0.25">
      <c r="A270" s="6" t="str">
        <f t="shared" si="8"/>
        <v/>
      </c>
      <c r="B270" s="7"/>
      <c r="C270" s="8"/>
      <c r="D270" s="8"/>
      <c r="E270" s="8"/>
      <c r="F270" s="9"/>
      <c r="G270" s="8"/>
      <c r="H270" s="8"/>
      <c r="I270" s="8"/>
      <c r="J270" s="8"/>
      <c r="K270" s="8"/>
      <c r="L270" s="10"/>
      <c r="M270" s="8"/>
      <c r="N270" s="8"/>
      <c r="O270" s="11"/>
      <c r="P270" s="8"/>
      <c r="Q270" s="8"/>
      <c r="R270" s="8"/>
      <c r="S270" s="6" t="str">
        <f>IF($C270="","",IFERROR(INDEX(Lists!$B$5:$B$16,MATCH(J270,Lists!$A$5:$A$16,0)),0)+IFERROR(INDEX(Lists!$E$5:$E$8,MATCH(K270,Lists!$D$5:$D$8,0)),0)+IFERROR(INDEX(Lists!$H$5:$H$11,MATCH(M270,Lists!$G$5:$G$11,0)),0)+IFERROR(INDEX(Lists!$K$5:$K$9,MATCH(P270,Lists!$J$5:$J$9,0)),0))</f>
        <v/>
      </c>
      <c r="T270" s="6" t="str">
        <f t="shared" si="9"/>
        <v/>
      </c>
      <c r="U270" s="11"/>
      <c r="V270" s="7"/>
      <c r="W270" s="8"/>
      <c r="X270" s="11"/>
    </row>
    <row r="271" spans="1:24" x14ac:dyDescent="0.25">
      <c r="A271" s="6" t="str">
        <f t="shared" si="8"/>
        <v/>
      </c>
      <c r="B271" s="7"/>
      <c r="C271" s="8"/>
      <c r="D271" s="8"/>
      <c r="E271" s="8"/>
      <c r="F271" s="9"/>
      <c r="G271" s="8"/>
      <c r="H271" s="8"/>
      <c r="I271" s="8"/>
      <c r="J271" s="8"/>
      <c r="K271" s="8"/>
      <c r="L271" s="10"/>
      <c r="M271" s="8"/>
      <c r="N271" s="8"/>
      <c r="O271" s="11"/>
      <c r="P271" s="8"/>
      <c r="Q271" s="8"/>
      <c r="R271" s="8"/>
      <c r="S271" s="6" t="str">
        <f>IF($C271="","",IFERROR(INDEX(Lists!$B$5:$B$16,MATCH(J271,Lists!$A$5:$A$16,0)),0)+IFERROR(INDEX(Lists!$E$5:$E$8,MATCH(K271,Lists!$D$5:$D$8,0)),0)+IFERROR(INDEX(Lists!$H$5:$H$11,MATCH(M271,Lists!$G$5:$G$11,0)),0)+IFERROR(INDEX(Lists!$K$5:$K$9,MATCH(P271,Lists!$J$5:$J$9,0)),0))</f>
        <v/>
      </c>
      <c r="T271" s="6" t="str">
        <f t="shared" si="9"/>
        <v/>
      </c>
      <c r="U271" s="11"/>
      <c r="V271" s="7"/>
      <c r="W271" s="8"/>
      <c r="X271" s="11"/>
    </row>
    <row r="272" spans="1:24" x14ac:dyDescent="0.25">
      <c r="A272" s="6" t="str">
        <f t="shared" si="8"/>
        <v/>
      </c>
      <c r="B272" s="7"/>
      <c r="C272" s="8"/>
      <c r="D272" s="8"/>
      <c r="E272" s="8"/>
      <c r="F272" s="9"/>
      <c r="G272" s="8"/>
      <c r="H272" s="8"/>
      <c r="I272" s="8"/>
      <c r="J272" s="8"/>
      <c r="K272" s="8"/>
      <c r="L272" s="10"/>
      <c r="M272" s="8"/>
      <c r="N272" s="8"/>
      <c r="O272" s="11"/>
      <c r="P272" s="8"/>
      <c r="Q272" s="8"/>
      <c r="R272" s="8"/>
      <c r="S272" s="6" t="str">
        <f>IF($C272="","",IFERROR(INDEX(Lists!$B$5:$B$16,MATCH(J272,Lists!$A$5:$A$16,0)),0)+IFERROR(INDEX(Lists!$E$5:$E$8,MATCH(K272,Lists!$D$5:$D$8,0)),0)+IFERROR(INDEX(Lists!$H$5:$H$11,MATCH(M272,Lists!$G$5:$G$11,0)),0)+IFERROR(INDEX(Lists!$K$5:$K$9,MATCH(P272,Lists!$J$5:$J$9,0)),0))</f>
        <v/>
      </c>
      <c r="T272" s="6" t="str">
        <f t="shared" si="9"/>
        <v/>
      </c>
      <c r="U272" s="11"/>
      <c r="V272" s="7"/>
      <c r="W272" s="8"/>
      <c r="X272" s="11"/>
    </row>
    <row r="273" spans="1:24" x14ac:dyDescent="0.25">
      <c r="A273" s="6" t="str">
        <f t="shared" si="8"/>
        <v/>
      </c>
      <c r="B273" s="7"/>
      <c r="C273" s="8"/>
      <c r="D273" s="8"/>
      <c r="E273" s="8"/>
      <c r="F273" s="9"/>
      <c r="G273" s="8"/>
      <c r="H273" s="8"/>
      <c r="I273" s="8"/>
      <c r="J273" s="8"/>
      <c r="K273" s="8"/>
      <c r="L273" s="10"/>
      <c r="M273" s="8"/>
      <c r="N273" s="8"/>
      <c r="O273" s="11"/>
      <c r="P273" s="8"/>
      <c r="Q273" s="8"/>
      <c r="R273" s="8"/>
      <c r="S273" s="6" t="str">
        <f>IF($C273="","",IFERROR(INDEX(Lists!$B$5:$B$16,MATCH(J273,Lists!$A$5:$A$16,0)),0)+IFERROR(INDEX(Lists!$E$5:$E$8,MATCH(K273,Lists!$D$5:$D$8,0)),0)+IFERROR(INDEX(Lists!$H$5:$H$11,MATCH(M273,Lists!$G$5:$G$11,0)),0)+IFERROR(INDEX(Lists!$K$5:$K$9,MATCH(P273,Lists!$J$5:$J$9,0)),0))</f>
        <v/>
      </c>
      <c r="T273" s="6" t="str">
        <f t="shared" si="9"/>
        <v/>
      </c>
      <c r="U273" s="11"/>
      <c r="V273" s="7"/>
      <c r="W273" s="8"/>
      <c r="X273" s="11"/>
    </row>
    <row r="274" spans="1:24" x14ac:dyDescent="0.25">
      <c r="A274" s="6" t="str">
        <f t="shared" si="8"/>
        <v/>
      </c>
      <c r="B274" s="7"/>
      <c r="C274" s="8"/>
      <c r="D274" s="8"/>
      <c r="E274" s="8"/>
      <c r="F274" s="9"/>
      <c r="G274" s="8"/>
      <c r="H274" s="8"/>
      <c r="I274" s="8"/>
      <c r="J274" s="8"/>
      <c r="K274" s="8"/>
      <c r="L274" s="10"/>
      <c r="M274" s="8"/>
      <c r="N274" s="8"/>
      <c r="O274" s="11"/>
      <c r="P274" s="8"/>
      <c r="Q274" s="8"/>
      <c r="R274" s="8"/>
      <c r="S274" s="6" t="str">
        <f>IF($C274="","",IFERROR(INDEX(Lists!$B$5:$B$16,MATCH(J274,Lists!$A$5:$A$16,0)),0)+IFERROR(INDEX(Lists!$E$5:$E$8,MATCH(K274,Lists!$D$5:$D$8,0)),0)+IFERROR(INDEX(Lists!$H$5:$H$11,MATCH(M274,Lists!$G$5:$G$11,0)),0)+IFERROR(INDEX(Lists!$K$5:$K$9,MATCH(P274,Lists!$J$5:$J$9,0)),0))</f>
        <v/>
      </c>
      <c r="T274" s="6" t="str">
        <f t="shared" si="9"/>
        <v/>
      </c>
      <c r="U274" s="11"/>
      <c r="V274" s="7"/>
      <c r="W274" s="8"/>
      <c r="X274" s="11"/>
    </row>
    <row r="275" spans="1:24" x14ac:dyDescent="0.25">
      <c r="A275" s="6" t="str">
        <f t="shared" si="8"/>
        <v/>
      </c>
      <c r="B275" s="7"/>
      <c r="C275" s="8"/>
      <c r="D275" s="8"/>
      <c r="E275" s="8"/>
      <c r="F275" s="9"/>
      <c r="G275" s="8"/>
      <c r="H275" s="8"/>
      <c r="I275" s="8"/>
      <c r="J275" s="8"/>
      <c r="K275" s="8"/>
      <c r="L275" s="10"/>
      <c r="M275" s="8"/>
      <c r="N275" s="8"/>
      <c r="O275" s="11"/>
      <c r="P275" s="8"/>
      <c r="Q275" s="8"/>
      <c r="R275" s="8"/>
      <c r="S275" s="6" t="str">
        <f>IF($C275="","",IFERROR(INDEX(Lists!$B$5:$B$16,MATCH(J275,Lists!$A$5:$A$16,0)),0)+IFERROR(INDEX(Lists!$E$5:$E$8,MATCH(K275,Lists!$D$5:$D$8,0)),0)+IFERROR(INDEX(Lists!$H$5:$H$11,MATCH(M275,Lists!$G$5:$G$11,0)),0)+IFERROR(INDEX(Lists!$K$5:$K$9,MATCH(P275,Lists!$J$5:$J$9,0)),0))</f>
        <v/>
      </c>
      <c r="T275" s="6" t="str">
        <f t="shared" si="9"/>
        <v/>
      </c>
      <c r="U275" s="11"/>
      <c r="V275" s="7"/>
      <c r="W275" s="8"/>
      <c r="X275" s="11"/>
    </row>
    <row r="276" spans="1:24" x14ac:dyDescent="0.25">
      <c r="A276" s="6" t="str">
        <f t="shared" si="8"/>
        <v/>
      </c>
      <c r="B276" s="7"/>
      <c r="C276" s="8"/>
      <c r="D276" s="8"/>
      <c r="E276" s="8"/>
      <c r="F276" s="9"/>
      <c r="G276" s="8"/>
      <c r="H276" s="8"/>
      <c r="I276" s="8"/>
      <c r="J276" s="8"/>
      <c r="K276" s="8"/>
      <c r="L276" s="10"/>
      <c r="M276" s="8"/>
      <c r="N276" s="8"/>
      <c r="O276" s="11"/>
      <c r="P276" s="8"/>
      <c r="Q276" s="8"/>
      <c r="R276" s="8"/>
      <c r="S276" s="6" t="str">
        <f>IF($C276="","",IFERROR(INDEX(Lists!$B$5:$B$16,MATCH(J276,Lists!$A$5:$A$16,0)),0)+IFERROR(INDEX(Lists!$E$5:$E$8,MATCH(K276,Lists!$D$5:$D$8,0)),0)+IFERROR(INDEX(Lists!$H$5:$H$11,MATCH(M276,Lists!$G$5:$G$11,0)),0)+IFERROR(INDEX(Lists!$K$5:$K$9,MATCH(P276,Lists!$J$5:$J$9,0)),0))</f>
        <v/>
      </c>
      <c r="T276" s="6" t="str">
        <f t="shared" si="9"/>
        <v/>
      </c>
      <c r="U276" s="11"/>
      <c r="V276" s="7"/>
      <c r="W276" s="8"/>
      <c r="X276" s="11"/>
    </row>
    <row r="277" spans="1:24" x14ac:dyDescent="0.25">
      <c r="A277" s="6" t="str">
        <f t="shared" si="8"/>
        <v/>
      </c>
      <c r="B277" s="7"/>
      <c r="C277" s="8"/>
      <c r="D277" s="8"/>
      <c r="E277" s="8"/>
      <c r="F277" s="9"/>
      <c r="G277" s="8"/>
      <c r="H277" s="8"/>
      <c r="I277" s="8"/>
      <c r="J277" s="8"/>
      <c r="K277" s="8"/>
      <c r="L277" s="10"/>
      <c r="M277" s="8"/>
      <c r="N277" s="8"/>
      <c r="O277" s="11"/>
      <c r="P277" s="8"/>
      <c r="Q277" s="8"/>
      <c r="R277" s="8"/>
      <c r="S277" s="6" t="str">
        <f>IF($C277="","",IFERROR(INDEX(Lists!$B$5:$B$16,MATCH(J277,Lists!$A$5:$A$16,0)),0)+IFERROR(INDEX(Lists!$E$5:$E$8,MATCH(K277,Lists!$D$5:$D$8,0)),0)+IFERROR(INDEX(Lists!$H$5:$H$11,MATCH(M277,Lists!$G$5:$G$11,0)),0)+IFERROR(INDEX(Lists!$K$5:$K$9,MATCH(P277,Lists!$J$5:$J$9,0)),0))</f>
        <v/>
      </c>
      <c r="T277" s="6" t="str">
        <f t="shared" si="9"/>
        <v/>
      </c>
      <c r="U277" s="11"/>
      <c r="V277" s="7"/>
      <c r="W277" s="8"/>
      <c r="X277" s="11"/>
    </row>
    <row r="278" spans="1:24" x14ac:dyDescent="0.25">
      <c r="A278" s="6" t="str">
        <f t="shared" si="8"/>
        <v/>
      </c>
      <c r="B278" s="7"/>
      <c r="C278" s="8"/>
      <c r="D278" s="8"/>
      <c r="E278" s="8"/>
      <c r="F278" s="9"/>
      <c r="G278" s="8"/>
      <c r="H278" s="8"/>
      <c r="I278" s="8"/>
      <c r="J278" s="8"/>
      <c r="K278" s="8"/>
      <c r="L278" s="10"/>
      <c r="M278" s="8"/>
      <c r="N278" s="8"/>
      <c r="O278" s="11"/>
      <c r="P278" s="8"/>
      <c r="Q278" s="8"/>
      <c r="R278" s="8"/>
      <c r="S278" s="6" t="str">
        <f>IF($C278="","",IFERROR(INDEX(Lists!$B$5:$B$16,MATCH(J278,Lists!$A$5:$A$16,0)),0)+IFERROR(INDEX(Lists!$E$5:$E$8,MATCH(K278,Lists!$D$5:$D$8,0)),0)+IFERROR(INDEX(Lists!$H$5:$H$11,MATCH(M278,Lists!$G$5:$G$11,0)),0)+IFERROR(INDEX(Lists!$K$5:$K$9,MATCH(P278,Lists!$J$5:$J$9,0)),0))</f>
        <v/>
      </c>
      <c r="T278" s="6" t="str">
        <f t="shared" si="9"/>
        <v/>
      </c>
      <c r="U278" s="11"/>
      <c r="V278" s="7"/>
      <c r="W278" s="8"/>
      <c r="X278" s="11"/>
    </row>
    <row r="279" spans="1:24" x14ac:dyDescent="0.25">
      <c r="A279" s="6" t="str">
        <f t="shared" si="8"/>
        <v/>
      </c>
      <c r="B279" s="7"/>
      <c r="C279" s="8"/>
      <c r="D279" s="8"/>
      <c r="E279" s="8"/>
      <c r="F279" s="9"/>
      <c r="G279" s="8"/>
      <c r="H279" s="8"/>
      <c r="I279" s="8"/>
      <c r="J279" s="8"/>
      <c r="K279" s="8"/>
      <c r="L279" s="10"/>
      <c r="M279" s="8"/>
      <c r="N279" s="8"/>
      <c r="O279" s="11"/>
      <c r="P279" s="8"/>
      <c r="Q279" s="8"/>
      <c r="R279" s="8"/>
      <c r="S279" s="6" t="str">
        <f>IF($C279="","",IFERROR(INDEX(Lists!$B$5:$B$16,MATCH(J279,Lists!$A$5:$A$16,0)),0)+IFERROR(INDEX(Lists!$E$5:$E$8,MATCH(K279,Lists!$D$5:$D$8,0)),0)+IFERROR(INDEX(Lists!$H$5:$H$11,MATCH(M279,Lists!$G$5:$G$11,0)),0)+IFERROR(INDEX(Lists!$K$5:$K$9,MATCH(P279,Lists!$J$5:$J$9,0)),0))</f>
        <v/>
      </c>
      <c r="T279" s="6" t="str">
        <f t="shared" si="9"/>
        <v/>
      </c>
      <c r="U279" s="11"/>
      <c r="V279" s="7"/>
      <c r="W279" s="8"/>
      <c r="X279" s="11"/>
    </row>
    <row r="280" spans="1:24" x14ac:dyDescent="0.25">
      <c r="A280" s="6" t="str">
        <f t="shared" si="8"/>
        <v/>
      </c>
      <c r="B280" s="7"/>
      <c r="C280" s="8"/>
      <c r="D280" s="8"/>
      <c r="E280" s="8"/>
      <c r="F280" s="9"/>
      <c r="G280" s="8"/>
      <c r="H280" s="8"/>
      <c r="I280" s="8"/>
      <c r="J280" s="8"/>
      <c r="K280" s="8"/>
      <c r="L280" s="10"/>
      <c r="M280" s="8"/>
      <c r="N280" s="8"/>
      <c r="O280" s="11"/>
      <c r="P280" s="8"/>
      <c r="Q280" s="8"/>
      <c r="R280" s="8"/>
      <c r="S280" s="6" t="str">
        <f>IF($C280="","",IFERROR(INDEX(Lists!$B$5:$B$16,MATCH(J280,Lists!$A$5:$A$16,0)),0)+IFERROR(INDEX(Lists!$E$5:$E$8,MATCH(K280,Lists!$D$5:$D$8,0)),0)+IFERROR(INDEX(Lists!$H$5:$H$11,MATCH(M280,Lists!$G$5:$G$11,0)),0)+IFERROR(INDEX(Lists!$K$5:$K$9,MATCH(P280,Lists!$J$5:$J$9,0)),0))</f>
        <v/>
      </c>
      <c r="T280" s="6" t="str">
        <f t="shared" si="9"/>
        <v/>
      </c>
      <c r="U280" s="11"/>
      <c r="V280" s="7"/>
      <c r="W280" s="8"/>
      <c r="X280" s="11"/>
    </row>
    <row r="281" spans="1:24" x14ac:dyDescent="0.25">
      <c r="A281" s="6" t="str">
        <f t="shared" si="8"/>
        <v/>
      </c>
      <c r="B281" s="7"/>
      <c r="C281" s="8"/>
      <c r="D281" s="8"/>
      <c r="E281" s="8"/>
      <c r="F281" s="9"/>
      <c r="G281" s="8"/>
      <c r="H281" s="8"/>
      <c r="I281" s="8"/>
      <c r="J281" s="8"/>
      <c r="K281" s="8"/>
      <c r="L281" s="10"/>
      <c r="M281" s="8"/>
      <c r="N281" s="8"/>
      <c r="O281" s="11"/>
      <c r="P281" s="8"/>
      <c r="Q281" s="8"/>
      <c r="R281" s="8"/>
      <c r="S281" s="6" t="str">
        <f>IF($C281="","",IFERROR(INDEX(Lists!$B$5:$B$16,MATCH(J281,Lists!$A$5:$A$16,0)),0)+IFERROR(INDEX(Lists!$E$5:$E$8,MATCH(K281,Lists!$D$5:$D$8,0)),0)+IFERROR(INDEX(Lists!$H$5:$H$11,MATCH(M281,Lists!$G$5:$G$11,0)),0)+IFERROR(INDEX(Lists!$K$5:$K$9,MATCH(P281,Lists!$J$5:$J$9,0)),0))</f>
        <v/>
      </c>
      <c r="T281" s="6" t="str">
        <f t="shared" si="9"/>
        <v/>
      </c>
      <c r="U281" s="11"/>
      <c r="V281" s="7"/>
      <c r="W281" s="8"/>
      <c r="X281" s="11"/>
    </row>
    <row r="282" spans="1:24" x14ac:dyDescent="0.25">
      <c r="A282" s="6" t="str">
        <f t="shared" si="8"/>
        <v/>
      </c>
      <c r="B282" s="7"/>
      <c r="C282" s="8"/>
      <c r="D282" s="8"/>
      <c r="E282" s="8"/>
      <c r="F282" s="9"/>
      <c r="G282" s="8"/>
      <c r="H282" s="8"/>
      <c r="I282" s="8"/>
      <c r="J282" s="8"/>
      <c r="K282" s="8"/>
      <c r="L282" s="10"/>
      <c r="M282" s="8"/>
      <c r="N282" s="8"/>
      <c r="O282" s="11"/>
      <c r="P282" s="8"/>
      <c r="Q282" s="8"/>
      <c r="R282" s="8"/>
      <c r="S282" s="6" t="str">
        <f>IF($C282="","",IFERROR(INDEX(Lists!$B$5:$B$16,MATCH(J282,Lists!$A$5:$A$16,0)),0)+IFERROR(INDEX(Lists!$E$5:$E$8,MATCH(K282,Lists!$D$5:$D$8,0)),0)+IFERROR(INDEX(Lists!$H$5:$H$11,MATCH(M282,Lists!$G$5:$G$11,0)),0)+IFERROR(INDEX(Lists!$K$5:$K$9,MATCH(P282,Lists!$J$5:$J$9,0)),0))</f>
        <v/>
      </c>
      <c r="T282" s="6" t="str">
        <f t="shared" si="9"/>
        <v/>
      </c>
      <c r="U282" s="11"/>
      <c r="V282" s="7"/>
      <c r="W282" s="8"/>
      <c r="X282" s="11"/>
    </row>
    <row r="283" spans="1:24" x14ac:dyDescent="0.25">
      <c r="A283" s="6" t="str">
        <f t="shared" si="8"/>
        <v/>
      </c>
      <c r="B283" s="7"/>
      <c r="C283" s="8"/>
      <c r="D283" s="8"/>
      <c r="E283" s="8"/>
      <c r="F283" s="9"/>
      <c r="G283" s="8"/>
      <c r="H283" s="8"/>
      <c r="I283" s="8"/>
      <c r="J283" s="8"/>
      <c r="K283" s="8"/>
      <c r="L283" s="10"/>
      <c r="M283" s="8"/>
      <c r="N283" s="8"/>
      <c r="O283" s="11"/>
      <c r="P283" s="8"/>
      <c r="Q283" s="8"/>
      <c r="R283" s="8"/>
      <c r="S283" s="6" t="str">
        <f>IF($C283="","",IFERROR(INDEX(Lists!$B$5:$B$16,MATCH(J283,Lists!$A$5:$A$16,0)),0)+IFERROR(INDEX(Lists!$E$5:$E$8,MATCH(K283,Lists!$D$5:$D$8,0)),0)+IFERROR(INDEX(Lists!$H$5:$H$11,MATCH(M283,Lists!$G$5:$G$11,0)),0)+IFERROR(INDEX(Lists!$K$5:$K$9,MATCH(P283,Lists!$J$5:$J$9,0)),0))</f>
        <v/>
      </c>
      <c r="T283" s="6" t="str">
        <f t="shared" si="9"/>
        <v/>
      </c>
      <c r="U283" s="11"/>
      <c r="V283" s="7"/>
      <c r="W283" s="8"/>
      <c r="X283" s="11"/>
    </row>
    <row r="284" spans="1:24" x14ac:dyDescent="0.25">
      <c r="A284" s="6" t="str">
        <f t="shared" si="8"/>
        <v/>
      </c>
      <c r="B284" s="7"/>
      <c r="C284" s="8"/>
      <c r="D284" s="8"/>
      <c r="E284" s="8"/>
      <c r="F284" s="9"/>
      <c r="G284" s="8"/>
      <c r="H284" s="8"/>
      <c r="I284" s="8"/>
      <c r="J284" s="8"/>
      <c r="K284" s="8"/>
      <c r="L284" s="10"/>
      <c r="M284" s="8"/>
      <c r="N284" s="8"/>
      <c r="O284" s="11"/>
      <c r="P284" s="8"/>
      <c r="Q284" s="8"/>
      <c r="R284" s="8"/>
      <c r="S284" s="6" t="str">
        <f>IF($C284="","",IFERROR(INDEX(Lists!$B$5:$B$16,MATCH(J284,Lists!$A$5:$A$16,0)),0)+IFERROR(INDEX(Lists!$E$5:$E$8,MATCH(K284,Lists!$D$5:$D$8,0)),0)+IFERROR(INDEX(Lists!$H$5:$H$11,MATCH(M284,Lists!$G$5:$G$11,0)),0)+IFERROR(INDEX(Lists!$K$5:$K$9,MATCH(P284,Lists!$J$5:$J$9,0)),0))</f>
        <v/>
      </c>
      <c r="T284" s="6" t="str">
        <f t="shared" si="9"/>
        <v/>
      </c>
      <c r="U284" s="11"/>
      <c r="V284" s="7"/>
      <c r="W284" s="8"/>
      <c r="X284" s="11"/>
    </row>
    <row r="285" spans="1:24" x14ac:dyDescent="0.25">
      <c r="A285" s="6" t="str">
        <f t="shared" si="8"/>
        <v/>
      </c>
      <c r="B285" s="7"/>
      <c r="C285" s="8"/>
      <c r="D285" s="8"/>
      <c r="E285" s="8"/>
      <c r="F285" s="9"/>
      <c r="G285" s="8"/>
      <c r="H285" s="8"/>
      <c r="I285" s="8"/>
      <c r="J285" s="8"/>
      <c r="K285" s="8"/>
      <c r="L285" s="10"/>
      <c r="M285" s="8"/>
      <c r="N285" s="8"/>
      <c r="O285" s="11"/>
      <c r="P285" s="8"/>
      <c r="Q285" s="8"/>
      <c r="R285" s="8"/>
      <c r="S285" s="6" t="str">
        <f>IF($C285="","",IFERROR(INDEX(Lists!$B$5:$B$16,MATCH(J285,Lists!$A$5:$A$16,0)),0)+IFERROR(INDEX(Lists!$E$5:$E$8,MATCH(K285,Lists!$D$5:$D$8,0)),0)+IFERROR(INDEX(Lists!$H$5:$H$11,MATCH(M285,Lists!$G$5:$G$11,0)),0)+IFERROR(INDEX(Lists!$K$5:$K$9,MATCH(P285,Lists!$J$5:$J$9,0)),0))</f>
        <v/>
      </c>
      <c r="T285" s="6" t="str">
        <f t="shared" si="9"/>
        <v/>
      </c>
      <c r="U285" s="11"/>
      <c r="V285" s="7"/>
      <c r="W285" s="8"/>
      <c r="X285" s="11"/>
    </row>
    <row r="286" spans="1:24" x14ac:dyDescent="0.25">
      <c r="A286" s="6" t="str">
        <f t="shared" si="8"/>
        <v/>
      </c>
      <c r="B286" s="7"/>
      <c r="C286" s="8"/>
      <c r="D286" s="8"/>
      <c r="E286" s="8"/>
      <c r="F286" s="9"/>
      <c r="G286" s="8"/>
      <c r="H286" s="8"/>
      <c r="I286" s="8"/>
      <c r="J286" s="8"/>
      <c r="K286" s="8"/>
      <c r="L286" s="10"/>
      <c r="M286" s="8"/>
      <c r="N286" s="8"/>
      <c r="O286" s="11"/>
      <c r="P286" s="8"/>
      <c r="Q286" s="8"/>
      <c r="R286" s="8"/>
      <c r="S286" s="6" t="str">
        <f>IF($C286="","",IFERROR(INDEX(Lists!$B$5:$B$16,MATCH(J286,Lists!$A$5:$A$16,0)),0)+IFERROR(INDEX(Lists!$E$5:$E$8,MATCH(K286,Lists!$D$5:$D$8,0)),0)+IFERROR(INDEX(Lists!$H$5:$H$11,MATCH(M286,Lists!$G$5:$G$11,0)),0)+IFERROR(INDEX(Lists!$K$5:$K$9,MATCH(P286,Lists!$J$5:$J$9,0)),0))</f>
        <v/>
      </c>
      <c r="T286" s="6" t="str">
        <f t="shared" si="9"/>
        <v/>
      </c>
      <c r="U286" s="11"/>
      <c r="V286" s="7"/>
      <c r="W286" s="8"/>
      <c r="X286" s="11"/>
    </row>
    <row r="287" spans="1:24" x14ac:dyDescent="0.25">
      <c r="A287" s="6" t="str">
        <f t="shared" si="8"/>
        <v/>
      </c>
      <c r="B287" s="7"/>
      <c r="C287" s="8"/>
      <c r="D287" s="8"/>
      <c r="E287" s="8"/>
      <c r="F287" s="9"/>
      <c r="G287" s="8"/>
      <c r="H287" s="8"/>
      <c r="I287" s="8"/>
      <c r="J287" s="8"/>
      <c r="K287" s="8"/>
      <c r="L287" s="10"/>
      <c r="M287" s="8"/>
      <c r="N287" s="8"/>
      <c r="O287" s="11"/>
      <c r="P287" s="8"/>
      <c r="Q287" s="8"/>
      <c r="R287" s="8"/>
      <c r="S287" s="6" t="str">
        <f>IF($C287="","",IFERROR(INDEX(Lists!$B$5:$B$16,MATCH(J287,Lists!$A$5:$A$16,0)),0)+IFERROR(INDEX(Lists!$E$5:$E$8,MATCH(K287,Lists!$D$5:$D$8,0)),0)+IFERROR(INDEX(Lists!$H$5:$H$11,MATCH(M287,Lists!$G$5:$G$11,0)),0)+IFERROR(INDEX(Lists!$K$5:$K$9,MATCH(P287,Lists!$J$5:$J$9,0)),0))</f>
        <v/>
      </c>
      <c r="T287" s="6" t="str">
        <f t="shared" si="9"/>
        <v/>
      </c>
      <c r="U287" s="11"/>
      <c r="V287" s="7"/>
      <c r="W287" s="8"/>
      <c r="X287" s="11"/>
    </row>
    <row r="288" spans="1:24" x14ac:dyDescent="0.25">
      <c r="A288" s="6" t="str">
        <f t="shared" si="8"/>
        <v/>
      </c>
      <c r="B288" s="7"/>
      <c r="C288" s="8"/>
      <c r="D288" s="8"/>
      <c r="E288" s="8"/>
      <c r="F288" s="9"/>
      <c r="G288" s="8"/>
      <c r="H288" s="8"/>
      <c r="I288" s="8"/>
      <c r="J288" s="8"/>
      <c r="K288" s="8"/>
      <c r="L288" s="10"/>
      <c r="M288" s="8"/>
      <c r="N288" s="8"/>
      <c r="O288" s="11"/>
      <c r="P288" s="8"/>
      <c r="Q288" s="8"/>
      <c r="R288" s="8"/>
      <c r="S288" s="6" t="str">
        <f>IF($C288="","",IFERROR(INDEX(Lists!$B$5:$B$16,MATCH(J288,Lists!$A$5:$A$16,0)),0)+IFERROR(INDEX(Lists!$E$5:$E$8,MATCH(K288,Lists!$D$5:$D$8,0)),0)+IFERROR(INDEX(Lists!$H$5:$H$11,MATCH(M288,Lists!$G$5:$G$11,0)),0)+IFERROR(INDEX(Lists!$K$5:$K$9,MATCH(P288,Lists!$J$5:$J$9,0)),0))</f>
        <v/>
      </c>
      <c r="T288" s="6" t="str">
        <f t="shared" si="9"/>
        <v/>
      </c>
      <c r="U288" s="11"/>
      <c r="V288" s="7"/>
      <c r="W288" s="8"/>
      <c r="X288" s="11"/>
    </row>
    <row r="289" spans="1:24" x14ac:dyDescent="0.25">
      <c r="A289" s="6" t="str">
        <f t="shared" si="8"/>
        <v/>
      </c>
      <c r="B289" s="7"/>
      <c r="C289" s="8"/>
      <c r="D289" s="8"/>
      <c r="E289" s="8"/>
      <c r="F289" s="9"/>
      <c r="G289" s="8"/>
      <c r="H289" s="8"/>
      <c r="I289" s="8"/>
      <c r="J289" s="8"/>
      <c r="K289" s="8"/>
      <c r="L289" s="10"/>
      <c r="M289" s="8"/>
      <c r="N289" s="8"/>
      <c r="O289" s="11"/>
      <c r="P289" s="8"/>
      <c r="Q289" s="8"/>
      <c r="R289" s="8"/>
      <c r="S289" s="6" t="str">
        <f>IF($C289="","",IFERROR(INDEX(Lists!$B$5:$B$16,MATCH(J289,Lists!$A$5:$A$16,0)),0)+IFERROR(INDEX(Lists!$E$5:$E$8,MATCH(K289,Lists!$D$5:$D$8,0)),0)+IFERROR(INDEX(Lists!$H$5:$H$11,MATCH(M289,Lists!$G$5:$G$11,0)),0)+IFERROR(INDEX(Lists!$K$5:$K$9,MATCH(P289,Lists!$J$5:$J$9,0)),0))</f>
        <v/>
      </c>
      <c r="T289" s="6" t="str">
        <f t="shared" si="9"/>
        <v/>
      </c>
      <c r="U289" s="11"/>
      <c r="V289" s="7"/>
      <c r="W289" s="8"/>
      <c r="X289" s="11"/>
    </row>
    <row r="290" spans="1:24" x14ac:dyDescent="0.25">
      <c r="A290" s="6" t="str">
        <f t="shared" si="8"/>
        <v/>
      </c>
      <c r="B290" s="7"/>
      <c r="C290" s="8"/>
      <c r="D290" s="8"/>
      <c r="E290" s="8"/>
      <c r="F290" s="9"/>
      <c r="G290" s="8"/>
      <c r="H290" s="8"/>
      <c r="I290" s="8"/>
      <c r="J290" s="8"/>
      <c r="K290" s="8"/>
      <c r="L290" s="10"/>
      <c r="M290" s="8"/>
      <c r="N290" s="8"/>
      <c r="O290" s="11"/>
      <c r="P290" s="8"/>
      <c r="Q290" s="8"/>
      <c r="R290" s="8"/>
      <c r="S290" s="6" t="str">
        <f>IF($C290="","",IFERROR(INDEX(Lists!$B$5:$B$16,MATCH(J290,Lists!$A$5:$A$16,0)),0)+IFERROR(INDEX(Lists!$E$5:$E$8,MATCH(K290,Lists!$D$5:$D$8,0)),0)+IFERROR(INDEX(Lists!$H$5:$H$11,MATCH(M290,Lists!$G$5:$G$11,0)),0)+IFERROR(INDEX(Lists!$K$5:$K$9,MATCH(P290,Lists!$J$5:$J$9,0)),0))</f>
        <v/>
      </c>
      <c r="T290" s="6" t="str">
        <f t="shared" si="9"/>
        <v/>
      </c>
      <c r="U290" s="11"/>
      <c r="V290" s="7"/>
      <c r="W290" s="8"/>
      <c r="X290" s="11"/>
    </row>
    <row r="291" spans="1:24" x14ac:dyDescent="0.25">
      <c r="A291" s="6" t="str">
        <f t="shared" si="8"/>
        <v/>
      </c>
      <c r="B291" s="7"/>
      <c r="C291" s="8"/>
      <c r="D291" s="8"/>
      <c r="E291" s="8"/>
      <c r="F291" s="9"/>
      <c r="G291" s="8"/>
      <c r="H291" s="8"/>
      <c r="I291" s="8"/>
      <c r="J291" s="8"/>
      <c r="K291" s="8"/>
      <c r="L291" s="10"/>
      <c r="M291" s="8"/>
      <c r="N291" s="8"/>
      <c r="O291" s="11"/>
      <c r="P291" s="8"/>
      <c r="Q291" s="8"/>
      <c r="R291" s="8"/>
      <c r="S291" s="6" t="str">
        <f>IF($C291="","",IFERROR(INDEX(Lists!$B$5:$B$16,MATCH(J291,Lists!$A$5:$A$16,0)),0)+IFERROR(INDEX(Lists!$E$5:$E$8,MATCH(K291,Lists!$D$5:$D$8,0)),0)+IFERROR(INDEX(Lists!$H$5:$H$11,MATCH(M291,Lists!$G$5:$G$11,0)),0)+IFERROR(INDEX(Lists!$K$5:$K$9,MATCH(P291,Lists!$J$5:$J$9,0)),0))</f>
        <v/>
      </c>
      <c r="T291" s="6" t="str">
        <f t="shared" si="9"/>
        <v/>
      </c>
      <c r="U291" s="11"/>
      <c r="V291" s="7"/>
      <c r="W291" s="8"/>
      <c r="X291" s="11"/>
    </row>
    <row r="292" spans="1:24" x14ac:dyDescent="0.25">
      <c r="A292" s="6" t="str">
        <f t="shared" si="8"/>
        <v/>
      </c>
      <c r="B292" s="7"/>
      <c r="C292" s="8"/>
      <c r="D292" s="8"/>
      <c r="E292" s="8"/>
      <c r="F292" s="9"/>
      <c r="G292" s="8"/>
      <c r="H292" s="8"/>
      <c r="I292" s="8"/>
      <c r="J292" s="8"/>
      <c r="K292" s="8"/>
      <c r="L292" s="10"/>
      <c r="M292" s="8"/>
      <c r="N292" s="8"/>
      <c r="O292" s="11"/>
      <c r="P292" s="8"/>
      <c r="Q292" s="8"/>
      <c r="R292" s="8"/>
      <c r="S292" s="6" t="str">
        <f>IF($C292="","",IFERROR(INDEX(Lists!$B$5:$B$16,MATCH(J292,Lists!$A$5:$A$16,0)),0)+IFERROR(INDEX(Lists!$E$5:$E$8,MATCH(K292,Lists!$D$5:$D$8,0)),0)+IFERROR(INDEX(Lists!$H$5:$H$11,MATCH(M292,Lists!$G$5:$G$11,0)),0)+IFERROR(INDEX(Lists!$K$5:$K$9,MATCH(P292,Lists!$J$5:$J$9,0)),0))</f>
        <v/>
      </c>
      <c r="T292" s="6" t="str">
        <f t="shared" si="9"/>
        <v/>
      </c>
      <c r="U292" s="11"/>
      <c r="V292" s="7"/>
      <c r="W292" s="8"/>
      <c r="X292" s="11"/>
    </row>
    <row r="293" spans="1:24" x14ac:dyDescent="0.25">
      <c r="A293" s="6" t="str">
        <f t="shared" si="8"/>
        <v/>
      </c>
      <c r="B293" s="7"/>
      <c r="C293" s="8"/>
      <c r="D293" s="8"/>
      <c r="E293" s="8"/>
      <c r="F293" s="9"/>
      <c r="G293" s="8"/>
      <c r="H293" s="8"/>
      <c r="I293" s="8"/>
      <c r="J293" s="8"/>
      <c r="K293" s="8"/>
      <c r="L293" s="10"/>
      <c r="M293" s="8"/>
      <c r="N293" s="8"/>
      <c r="O293" s="11"/>
      <c r="P293" s="8"/>
      <c r="Q293" s="8"/>
      <c r="R293" s="8"/>
      <c r="S293" s="6" t="str">
        <f>IF($C293="","",IFERROR(INDEX(Lists!$B$5:$B$16,MATCH(J293,Lists!$A$5:$A$16,0)),0)+IFERROR(INDEX(Lists!$E$5:$E$8,MATCH(K293,Lists!$D$5:$D$8,0)),0)+IFERROR(INDEX(Lists!$H$5:$H$11,MATCH(M293,Lists!$G$5:$G$11,0)),0)+IFERROR(INDEX(Lists!$K$5:$K$9,MATCH(P293,Lists!$J$5:$J$9,0)),0))</f>
        <v/>
      </c>
      <c r="T293" s="6" t="str">
        <f t="shared" si="9"/>
        <v/>
      </c>
      <c r="U293" s="11"/>
      <c r="V293" s="7"/>
      <c r="W293" s="8"/>
      <c r="X293" s="11"/>
    </row>
    <row r="294" spans="1:24" x14ac:dyDescent="0.25">
      <c r="A294" s="6" t="str">
        <f t="shared" si="8"/>
        <v/>
      </c>
      <c r="B294" s="7"/>
      <c r="C294" s="8"/>
      <c r="D294" s="8"/>
      <c r="E294" s="8"/>
      <c r="F294" s="9"/>
      <c r="G294" s="8"/>
      <c r="H294" s="8"/>
      <c r="I294" s="8"/>
      <c r="J294" s="8"/>
      <c r="K294" s="8"/>
      <c r="L294" s="10"/>
      <c r="M294" s="8"/>
      <c r="N294" s="8"/>
      <c r="O294" s="11"/>
      <c r="P294" s="8"/>
      <c r="Q294" s="8"/>
      <c r="R294" s="8"/>
      <c r="S294" s="6" t="str">
        <f>IF($C294="","",IFERROR(INDEX(Lists!$B$5:$B$16,MATCH(J294,Lists!$A$5:$A$16,0)),0)+IFERROR(INDEX(Lists!$E$5:$E$8,MATCH(K294,Lists!$D$5:$D$8,0)),0)+IFERROR(INDEX(Lists!$H$5:$H$11,MATCH(M294,Lists!$G$5:$G$11,0)),0)+IFERROR(INDEX(Lists!$K$5:$K$9,MATCH(P294,Lists!$J$5:$J$9,0)),0))</f>
        <v/>
      </c>
      <c r="T294" s="6" t="str">
        <f t="shared" si="9"/>
        <v/>
      </c>
      <c r="U294" s="11"/>
      <c r="V294" s="7"/>
      <c r="W294" s="8"/>
      <c r="X294" s="11"/>
    </row>
    <row r="295" spans="1:24" x14ac:dyDescent="0.25">
      <c r="A295" s="6" t="str">
        <f t="shared" si="8"/>
        <v/>
      </c>
      <c r="B295" s="7"/>
      <c r="C295" s="8"/>
      <c r="D295" s="8"/>
      <c r="E295" s="8"/>
      <c r="F295" s="9"/>
      <c r="G295" s="8"/>
      <c r="H295" s="8"/>
      <c r="I295" s="8"/>
      <c r="J295" s="8"/>
      <c r="K295" s="8"/>
      <c r="L295" s="10"/>
      <c r="M295" s="8"/>
      <c r="N295" s="8"/>
      <c r="O295" s="11"/>
      <c r="P295" s="8"/>
      <c r="Q295" s="8"/>
      <c r="R295" s="8"/>
      <c r="S295" s="6" t="str">
        <f>IF($C295="","",IFERROR(INDEX(Lists!$B$5:$B$16,MATCH(J295,Lists!$A$5:$A$16,0)),0)+IFERROR(INDEX(Lists!$E$5:$E$8,MATCH(K295,Lists!$D$5:$D$8,0)),0)+IFERROR(INDEX(Lists!$H$5:$H$11,MATCH(M295,Lists!$G$5:$G$11,0)),0)+IFERROR(INDEX(Lists!$K$5:$K$9,MATCH(P295,Lists!$J$5:$J$9,0)),0))</f>
        <v/>
      </c>
      <c r="T295" s="6" t="str">
        <f t="shared" si="9"/>
        <v/>
      </c>
      <c r="U295" s="11"/>
      <c r="V295" s="7"/>
      <c r="W295" s="8"/>
      <c r="X295" s="11"/>
    </row>
    <row r="296" spans="1:24" x14ac:dyDescent="0.25">
      <c r="A296" s="6" t="str">
        <f t="shared" si="8"/>
        <v/>
      </c>
      <c r="B296" s="7"/>
      <c r="C296" s="8"/>
      <c r="D296" s="8"/>
      <c r="E296" s="8"/>
      <c r="F296" s="9"/>
      <c r="G296" s="8"/>
      <c r="H296" s="8"/>
      <c r="I296" s="8"/>
      <c r="J296" s="8"/>
      <c r="K296" s="8"/>
      <c r="L296" s="10"/>
      <c r="M296" s="8"/>
      <c r="N296" s="8"/>
      <c r="O296" s="11"/>
      <c r="P296" s="8"/>
      <c r="Q296" s="8"/>
      <c r="R296" s="8"/>
      <c r="S296" s="6" t="str">
        <f>IF($C296="","",IFERROR(INDEX(Lists!$B$5:$B$16,MATCH(J296,Lists!$A$5:$A$16,0)),0)+IFERROR(INDEX(Lists!$E$5:$E$8,MATCH(K296,Lists!$D$5:$D$8,0)),0)+IFERROR(INDEX(Lists!$H$5:$H$11,MATCH(M296,Lists!$G$5:$G$11,0)),0)+IFERROR(INDEX(Lists!$K$5:$K$9,MATCH(P296,Lists!$J$5:$J$9,0)),0))</f>
        <v/>
      </c>
      <c r="T296" s="6" t="str">
        <f t="shared" si="9"/>
        <v/>
      </c>
      <c r="U296" s="11"/>
      <c r="V296" s="7"/>
      <c r="W296" s="8"/>
      <c r="X296" s="11"/>
    </row>
    <row r="297" spans="1:24" x14ac:dyDescent="0.25">
      <c r="A297" s="6" t="str">
        <f t="shared" si="8"/>
        <v/>
      </c>
      <c r="B297" s="7"/>
      <c r="C297" s="8"/>
      <c r="D297" s="8"/>
      <c r="E297" s="8"/>
      <c r="F297" s="9"/>
      <c r="G297" s="8"/>
      <c r="H297" s="8"/>
      <c r="I297" s="8"/>
      <c r="J297" s="8"/>
      <c r="K297" s="8"/>
      <c r="L297" s="10"/>
      <c r="M297" s="8"/>
      <c r="N297" s="8"/>
      <c r="O297" s="11"/>
      <c r="P297" s="8"/>
      <c r="Q297" s="8"/>
      <c r="R297" s="8"/>
      <c r="S297" s="6" t="str">
        <f>IF($C297="","",IFERROR(INDEX(Lists!$B$5:$B$16,MATCH(J297,Lists!$A$5:$A$16,0)),0)+IFERROR(INDEX(Lists!$E$5:$E$8,MATCH(K297,Lists!$D$5:$D$8,0)),0)+IFERROR(INDEX(Lists!$H$5:$H$11,MATCH(M297,Lists!$G$5:$G$11,0)),0)+IFERROR(INDEX(Lists!$K$5:$K$9,MATCH(P297,Lists!$J$5:$J$9,0)),0))</f>
        <v/>
      </c>
      <c r="T297" s="6" t="str">
        <f t="shared" si="9"/>
        <v/>
      </c>
      <c r="U297" s="11"/>
      <c r="V297" s="7"/>
      <c r="W297" s="8"/>
      <c r="X297" s="11"/>
    </row>
    <row r="298" spans="1:24" x14ac:dyDescent="0.25">
      <c r="A298" s="6" t="str">
        <f t="shared" si="8"/>
        <v/>
      </c>
      <c r="B298" s="7"/>
      <c r="C298" s="8"/>
      <c r="D298" s="8"/>
      <c r="E298" s="8"/>
      <c r="F298" s="9"/>
      <c r="G298" s="8"/>
      <c r="H298" s="8"/>
      <c r="I298" s="8"/>
      <c r="J298" s="8"/>
      <c r="K298" s="8"/>
      <c r="L298" s="10"/>
      <c r="M298" s="8"/>
      <c r="N298" s="8"/>
      <c r="O298" s="11"/>
      <c r="P298" s="8"/>
      <c r="Q298" s="8"/>
      <c r="R298" s="8"/>
      <c r="S298" s="6" t="str">
        <f>IF($C298="","",IFERROR(INDEX(Lists!$B$5:$B$16,MATCH(J298,Lists!$A$5:$A$16,0)),0)+IFERROR(INDEX(Lists!$E$5:$E$8,MATCH(K298,Lists!$D$5:$D$8,0)),0)+IFERROR(INDEX(Lists!$H$5:$H$11,MATCH(M298,Lists!$G$5:$G$11,0)),0)+IFERROR(INDEX(Lists!$K$5:$K$9,MATCH(P298,Lists!$J$5:$J$9,0)),0))</f>
        <v/>
      </c>
      <c r="T298" s="6" t="str">
        <f t="shared" si="9"/>
        <v/>
      </c>
      <c r="U298" s="11"/>
      <c r="V298" s="7"/>
      <c r="W298" s="8"/>
      <c r="X298" s="11"/>
    </row>
    <row r="299" spans="1:24" x14ac:dyDescent="0.25">
      <c r="A299" s="6" t="str">
        <f t="shared" si="8"/>
        <v/>
      </c>
      <c r="B299" s="7"/>
      <c r="C299" s="8"/>
      <c r="D299" s="8"/>
      <c r="E299" s="8"/>
      <c r="F299" s="9"/>
      <c r="G299" s="8"/>
      <c r="H299" s="8"/>
      <c r="I299" s="8"/>
      <c r="J299" s="8"/>
      <c r="K299" s="8"/>
      <c r="L299" s="10"/>
      <c r="M299" s="8"/>
      <c r="N299" s="8"/>
      <c r="O299" s="11"/>
      <c r="P299" s="8"/>
      <c r="Q299" s="8"/>
      <c r="R299" s="8"/>
      <c r="S299" s="6" t="str">
        <f>IF($C299="","",IFERROR(INDEX(Lists!$B$5:$B$16,MATCH(J299,Lists!$A$5:$A$16,0)),0)+IFERROR(INDEX(Lists!$E$5:$E$8,MATCH(K299,Lists!$D$5:$D$8,0)),0)+IFERROR(INDEX(Lists!$H$5:$H$11,MATCH(M299,Lists!$G$5:$G$11,0)),0)+IFERROR(INDEX(Lists!$K$5:$K$9,MATCH(P299,Lists!$J$5:$J$9,0)),0))</f>
        <v/>
      </c>
      <c r="T299" s="6" t="str">
        <f t="shared" si="9"/>
        <v/>
      </c>
      <c r="U299" s="11"/>
      <c r="V299" s="7"/>
      <c r="W299" s="8"/>
      <c r="X299" s="11"/>
    </row>
    <row r="300" spans="1:24" x14ac:dyDescent="0.25">
      <c r="A300" s="6" t="str">
        <f t="shared" si="8"/>
        <v/>
      </c>
      <c r="B300" s="7"/>
      <c r="C300" s="8"/>
      <c r="D300" s="8"/>
      <c r="E300" s="8"/>
      <c r="F300" s="9"/>
      <c r="G300" s="8"/>
      <c r="H300" s="8"/>
      <c r="I300" s="8"/>
      <c r="J300" s="8"/>
      <c r="K300" s="8"/>
      <c r="L300" s="10"/>
      <c r="M300" s="8"/>
      <c r="N300" s="8"/>
      <c r="O300" s="11"/>
      <c r="P300" s="8"/>
      <c r="Q300" s="8"/>
      <c r="R300" s="8"/>
      <c r="S300" s="6" t="str">
        <f>IF($C300="","",IFERROR(INDEX(Lists!$B$5:$B$16,MATCH(J300,Lists!$A$5:$A$16,0)),0)+IFERROR(INDEX(Lists!$E$5:$E$8,MATCH(K300,Lists!$D$5:$D$8,0)),0)+IFERROR(INDEX(Lists!$H$5:$H$11,MATCH(M300,Lists!$G$5:$G$11,0)),0)+IFERROR(INDEX(Lists!$K$5:$K$9,MATCH(P300,Lists!$J$5:$J$9,0)),0))</f>
        <v/>
      </c>
      <c r="T300" s="6" t="str">
        <f t="shared" si="9"/>
        <v/>
      </c>
      <c r="U300" s="11"/>
      <c r="V300" s="7"/>
      <c r="W300" s="8"/>
      <c r="X300" s="11"/>
    </row>
    <row r="301" spans="1:24" x14ac:dyDescent="0.25">
      <c r="A301" s="6" t="str">
        <f t="shared" si="8"/>
        <v/>
      </c>
      <c r="B301" s="7"/>
      <c r="C301" s="8"/>
      <c r="D301" s="8"/>
      <c r="E301" s="8"/>
      <c r="F301" s="9"/>
      <c r="G301" s="8"/>
      <c r="H301" s="8"/>
      <c r="I301" s="8"/>
      <c r="J301" s="8"/>
      <c r="K301" s="8"/>
      <c r="L301" s="10"/>
      <c r="M301" s="8"/>
      <c r="N301" s="8"/>
      <c r="O301" s="11"/>
      <c r="P301" s="8"/>
      <c r="Q301" s="8"/>
      <c r="R301" s="8"/>
      <c r="S301" s="6" t="str">
        <f>IF($C301="","",IFERROR(INDEX(Lists!$B$5:$B$16,MATCH(J301,Lists!$A$5:$A$16,0)),0)+IFERROR(INDEX(Lists!$E$5:$E$8,MATCH(K301,Lists!$D$5:$D$8,0)),0)+IFERROR(INDEX(Lists!$H$5:$H$11,MATCH(M301,Lists!$G$5:$G$11,0)),0)+IFERROR(INDEX(Lists!$K$5:$K$9,MATCH(P301,Lists!$J$5:$J$9,0)),0))</f>
        <v/>
      </c>
      <c r="T301" s="6" t="str">
        <f t="shared" si="9"/>
        <v/>
      </c>
      <c r="U301" s="11"/>
      <c r="V301" s="7"/>
      <c r="W301" s="8"/>
      <c r="X301" s="11"/>
    </row>
    <row r="302" spans="1:24" x14ac:dyDescent="0.25">
      <c r="A302" s="6" t="str">
        <f t="shared" si="8"/>
        <v/>
      </c>
      <c r="B302" s="7"/>
      <c r="C302" s="8"/>
      <c r="D302" s="8"/>
      <c r="E302" s="8"/>
      <c r="F302" s="9"/>
      <c r="G302" s="8"/>
      <c r="H302" s="8"/>
      <c r="I302" s="8"/>
      <c r="J302" s="8"/>
      <c r="K302" s="8"/>
      <c r="L302" s="10"/>
      <c r="M302" s="8"/>
      <c r="N302" s="8"/>
      <c r="O302" s="11"/>
      <c r="P302" s="8"/>
      <c r="Q302" s="8"/>
      <c r="R302" s="8"/>
      <c r="S302" s="6" t="str">
        <f>IF($C302="","",IFERROR(INDEX(Lists!$B$5:$B$16,MATCH(J302,Lists!$A$5:$A$16,0)),0)+IFERROR(INDEX(Lists!$E$5:$E$8,MATCH(K302,Lists!$D$5:$D$8,0)),0)+IFERROR(INDEX(Lists!$H$5:$H$11,MATCH(M302,Lists!$G$5:$G$11,0)),0)+IFERROR(INDEX(Lists!$K$5:$K$9,MATCH(P302,Lists!$J$5:$J$9,0)),0))</f>
        <v/>
      </c>
      <c r="T302" s="6" t="str">
        <f t="shared" si="9"/>
        <v/>
      </c>
      <c r="U302" s="11"/>
      <c r="V302" s="7"/>
      <c r="W302" s="8"/>
      <c r="X302" s="11"/>
    </row>
    <row r="303" spans="1:24" x14ac:dyDescent="0.25">
      <c r="A303" s="6" t="str">
        <f t="shared" si="8"/>
        <v/>
      </c>
      <c r="B303" s="7"/>
      <c r="C303" s="8"/>
      <c r="D303" s="8"/>
      <c r="E303" s="8"/>
      <c r="F303" s="9"/>
      <c r="G303" s="8"/>
      <c r="H303" s="8"/>
      <c r="I303" s="8"/>
      <c r="J303" s="8"/>
      <c r="K303" s="8"/>
      <c r="L303" s="10"/>
      <c r="M303" s="8"/>
      <c r="N303" s="8"/>
      <c r="O303" s="11"/>
      <c r="P303" s="8"/>
      <c r="Q303" s="8"/>
      <c r="R303" s="8"/>
      <c r="S303" s="6" t="str">
        <f>IF($C303="","",IFERROR(INDEX(Lists!$B$5:$B$16,MATCH(J303,Lists!$A$5:$A$16,0)),0)+IFERROR(INDEX(Lists!$E$5:$E$8,MATCH(K303,Lists!$D$5:$D$8,0)),0)+IFERROR(INDEX(Lists!$H$5:$H$11,MATCH(M303,Lists!$G$5:$G$11,0)),0)+IFERROR(INDEX(Lists!$K$5:$K$9,MATCH(P303,Lists!$J$5:$J$9,0)),0))</f>
        <v/>
      </c>
      <c r="T303" s="6" t="str">
        <f t="shared" si="9"/>
        <v/>
      </c>
      <c r="U303" s="11"/>
      <c r="V303" s="7"/>
      <c r="W303" s="8"/>
      <c r="X303" s="11"/>
    </row>
    <row r="304" spans="1:24" x14ac:dyDescent="0.25">
      <c r="A304" s="6" t="str">
        <f t="shared" si="8"/>
        <v/>
      </c>
      <c r="B304" s="7"/>
      <c r="C304" s="8"/>
      <c r="D304" s="8"/>
      <c r="E304" s="8"/>
      <c r="F304" s="9"/>
      <c r="G304" s="8"/>
      <c r="H304" s="8"/>
      <c r="I304" s="8"/>
      <c r="J304" s="8"/>
      <c r="K304" s="8"/>
      <c r="L304" s="10"/>
      <c r="M304" s="8"/>
      <c r="N304" s="8"/>
      <c r="O304" s="11"/>
      <c r="P304" s="8"/>
      <c r="Q304" s="8"/>
      <c r="R304" s="8"/>
      <c r="S304" s="6" t="str">
        <f>IF($C304="","",IFERROR(INDEX(Lists!$B$5:$B$16,MATCH(J304,Lists!$A$5:$A$16,0)),0)+IFERROR(INDEX(Lists!$E$5:$E$8,MATCH(K304,Lists!$D$5:$D$8,0)),0)+IFERROR(INDEX(Lists!$H$5:$H$11,MATCH(M304,Lists!$G$5:$G$11,0)),0)+IFERROR(INDEX(Lists!$K$5:$K$9,MATCH(P304,Lists!$J$5:$J$9,0)),0))</f>
        <v/>
      </c>
      <c r="T304" s="6" t="str">
        <f t="shared" si="9"/>
        <v/>
      </c>
      <c r="U304" s="11"/>
      <c r="V304" s="7"/>
      <c r="W304" s="8"/>
      <c r="X304" s="11"/>
    </row>
  </sheetData>
  <autoFilter ref="A4:X304" xr:uid="{00000000-0009-0000-0000-000001000000}"/>
  <conditionalFormatting sqref="T5:T304">
    <cfRule type="cellIs" dxfId="5" priority="1" operator="equal">
      <formula>"Hot"</formula>
    </cfRule>
    <cfRule type="cellIs" dxfId="4" priority="2" operator="equal">
      <formula>"Warm"</formula>
    </cfRule>
    <cfRule type="cellIs" dxfId="3" priority="3" operator="equal">
      <formula>"Cold"</formula>
    </cfRule>
  </conditionalFormatting>
  <conditionalFormatting sqref="V5:V304">
    <cfRule type="expression" dxfId="2" priority="4">
      <formula>AND(V5&lt;&gt;"",V5&lt;TODAY(),$R5&lt;&gt;"Won",$R5&lt;&gt;"Lost",$R5&lt;&gt;"Not a fit")</formula>
    </cfRule>
  </conditionalFormatting>
  <dataValidations count="1">
    <dataValidation type="custom" allowBlank="1" showErrorMessage="1" errorTitle="Check the email" error="Enter a full email address, for example name@company.com" sqref="G5:G304" xr:uid="{00000000-0002-0000-0100-000008000000}">
      <formula1>AND(ISNUMBER(SEARCH("@",G5)),ISNUMBER(SEARCH(".",G5)))</formula1>
    </dataValidation>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8">
        <x14:dataValidation type="list" allowBlank="1" showErrorMessage="1" errorTitle="Not in the list" error="Choose a value from the list (edit choices on the Lists sheet)." xr:uid="{00000000-0002-0000-0100-000000000000}">
          <x14:formula1>
            <xm:f>Lists!$A$5:$A$16</xm:f>
          </x14:formula1>
          <xm:sqref>J5:J304</xm:sqref>
        </x14:dataValidation>
        <x14:dataValidation type="list" allowBlank="1" showErrorMessage="1" errorTitle="Not in the list" error="Choose a value from the list (edit choices on the Lists sheet)." xr:uid="{00000000-0002-0000-0100-000001000000}">
          <x14:formula1>
            <xm:f>Lists!$D$5:$D$8</xm:f>
          </x14:formula1>
          <xm:sqref>K5:K304</xm:sqref>
        </x14:dataValidation>
        <x14:dataValidation type="list" allowBlank="1" showErrorMessage="1" errorTitle="Not in the list" error="Choose a value from the list (edit choices on the Lists sheet)." xr:uid="{00000000-0002-0000-0100-000002000000}">
          <x14:formula1>
            <xm:f>Lists!$G$5:$G$11</xm:f>
          </x14:formula1>
          <xm:sqref>M5:M304</xm:sqref>
        </x14:dataValidation>
        <x14:dataValidation type="list" allowBlank="1" showErrorMessage="1" errorTitle="Not in the list" error="Choose a value from the list (edit choices on the Lists sheet)." xr:uid="{00000000-0002-0000-0100-000003000000}">
          <x14:formula1>
            <xm:f>Lists!$J$5:$J$9</xm:f>
          </x14:formula1>
          <xm:sqref>P5:P304</xm:sqref>
        </x14:dataValidation>
        <x14:dataValidation type="list" allowBlank="1" showErrorMessage="1" errorTitle="Not in the list" error="Choose a value from the list (edit choices on the Lists sheet)." xr:uid="{00000000-0002-0000-0100-000004000000}">
          <x14:formula1>
            <xm:f>Lists!$M$5:$M$15</xm:f>
          </x14:formula1>
          <xm:sqref>Q5:Q304</xm:sqref>
        </x14:dataValidation>
        <x14:dataValidation type="list" allowBlank="1" showErrorMessage="1" errorTitle="Not in the list" error="Choose a value from the list (edit choices on the Lists sheet)." xr:uid="{00000000-0002-0000-0100-000005000000}">
          <x14:formula1>
            <xm:f>Lists!$O$5:$O$13</xm:f>
          </x14:formula1>
          <xm:sqref>R5:R304</xm:sqref>
        </x14:dataValidation>
        <x14:dataValidation type="list" allowBlank="1" errorTitle="Not in the list" error="Choose a value from the list (edit choices on the Lists sheet)." xr:uid="{00000000-0002-0000-0100-000006000000}">
          <x14:formula1>
            <xm:f>Lists!$Q$5:$Q$14</xm:f>
          </x14:formula1>
          <xm:sqref>N5:N304</xm:sqref>
        </x14:dataValidation>
        <x14:dataValidation type="list" allowBlank="1" errorTitle="Not in the list" error="Choose a value from the list (edit choices on the Lists sheet)." xr:uid="{00000000-0002-0000-0100-000007000000}">
          <x14:formula1>
            <xm:f>Lists!$S$5:$S$19</xm:f>
          </x14:formula1>
          <xm:sqref>I5:I304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D3FE0"/>
  </sheetPr>
  <dimension ref="A1:J20"/>
  <sheetViews>
    <sheetView showGridLines="0" workbookViewId="0">
      <pane xSplit="2" ySplit="4" topLeftCell="C5" activePane="bottomRight" state="frozen"/>
      <selection pane="topRight"/>
      <selection pane="bottomLeft"/>
      <selection pane="bottomRight"/>
    </sheetView>
  </sheetViews>
  <sheetFormatPr defaultRowHeight="15" x14ac:dyDescent="0.25"/>
  <cols>
    <col min="1" max="1" width="6" customWidth="1"/>
    <col min="2" max="2" width="34" customWidth="1"/>
    <col min="3" max="3" width="8" customWidth="1"/>
    <col min="4" max="4" width="34" customWidth="1"/>
    <col min="5" max="5" width="52" customWidth="1"/>
    <col min="6" max="6" width="38" customWidth="1"/>
    <col min="7" max="7" width="30" customWidth="1"/>
    <col min="8" max="8" width="40" customWidth="1"/>
    <col min="9" max="10" width="10" customWidth="1"/>
  </cols>
  <sheetData>
    <row r="1" spans="1:10" ht="20.25" x14ac:dyDescent="0.3">
      <c r="A1" s="1" t="s">
        <v>142</v>
      </c>
    </row>
    <row r="2" spans="1:10" x14ac:dyDescent="0.25">
      <c r="A2" s="2" t="s">
        <v>143</v>
      </c>
    </row>
    <row r="4" spans="1:10" ht="33.950000000000003" customHeight="1" x14ac:dyDescent="0.25">
      <c r="A4" s="5" t="s">
        <v>144</v>
      </c>
      <c r="B4" s="5" t="s">
        <v>11</v>
      </c>
      <c r="C4" s="5" t="s">
        <v>145</v>
      </c>
      <c r="D4" s="5" t="s">
        <v>146</v>
      </c>
      <c r="E4" s="5" t="s">
        <v>147</v>
      </c>
      <c r="F4" s="5" t="s">
        <v>148</v>
      </c>
      <c r="G4" s="5" t="s">
        <v>149</v>
      </c>
      <c r="H4" s="5" t="s">
        <v>150</v>
      </c>
      <c r="I4" s="5" t="s">
        <v>151</v>
      </c>
      <c r="J4" s="5" t="s">
        <v>152</v>
      </c>
    </row>
    <row r="5" spans="1:10" ht="62.1" customHeight="1" x14ac:dyDescent="0.25">
      <c r="A5" s="12">
        <v>1</v>
      </c>
      <c r="B5" s="13" t="s">
        <v>31</v>
      </c>
      <c r="C5" s="12">
        <v>5</v>
      </c>
      <c r="D5" s="4" t="s">
        <v>153</v>
      </c>
      <c r="E5" s="4" t="s">
        <v>154</v>
      </c>
      <c r="F5" s="4" t="s">
        <v>155</v>
      </c>
      <c r="G5" s="4" t="s">
        <v>156</v>
      </c>
      <c r="H5" s="4" t="s">
        <v>157</v>
      </c>
      <c r="I5" s="12">
        <f>COUNTIF(Leads!$J$5:$J$304,B5)</f>
        <v>6</v>
      </c>
      <c r="J5" s="12">
        <f>COUNTIFS(Leads!$J$5:$J$304,B5,Leads!$T$5:$T$304,"Hot")</f>
        <v>0</v>
      </c>
    </row>
    <row r="6" spans="1:10" ht="62.1" customHeight="1" x14ac:dyDescent="0.25">
      <c r="A6" s="12">
        <v>2</v>
      </c>
      <c r="B6" s="13" t="s">
        <v>62</v>
      </c>
      <c r="C6" s="12">
        <v>5</v>
      </c>
      <c r="D6" s="4" t="s">
        <v>158</v>
      </c>
      <c r="E6" s="4" t="s">
        <v>159</v>
      </c>
      <c r="F6" s="4" t="s">
        <v>160</v>
      </c>
      <c r="G6" s="4" t="s">
        <v>156</v>
      </c>
      <c r="H6" s="4" t="s">
        <v>161</v>
      </c>
      <c r="I6" s="12">
        <f>COUNTIF(Leads!$J$5:$J$304,B6)</f>
        <v>3</v>
      </c>
      <c r="J6" s="12">
        <f>COUNTIFS(Leads!$J$5:$J$304,B6,Leads!$T$5:$T$304,"Hot")</f>
        <v>0</v>
      </c>
    </row>
    <row r="7" spans="1:10" ht="62.1" customHeight="1" x14ac:dyDescent="0.25">
      <c r="A7" s="12">
        <v>3</v>
      </c>
      <c r="B7" s="13" t="s">
        <v>76</v>
      </c>
      <c r="C7" s="12">
        <v>4</v>
      </c>
      <c r="D7" s="4" t="s">
        <v>162</v>
      </c>
      <c r="E7" s="4" t="s">
        <v>163</v>
      </c>
      <c r="F7" s="4" t="s">
        <v>164</v>
      </c>
      <c r="G7" s="4" t="s">
        <v>156</v>
      </c>
      <c r="H7" s="4" t="s">
        <v>165</v>
      </c>
      <c r="I7" s="12">
        <f>COUNTIF(Leads!$J$5:$J$304,B7)</f>
        <v>3</v>
      </c>
      <c r="J7" s="12">
        <f>COUNTIFS(Leads!$J$5:$J$304,B7,Leads!$T$5:$T$304,"Hot")</f>
        <v>0</v>
      </c>
    </row>
    <row r="8" spans="1:10" ht="62.1" customHeight="1" x14ac:dyDescent="0.25">
      <c r="A8" s="12">
        <v>4</v>
      </c>
      <c r="B8" s="13" t="s">
        <v>166</v>
      </c>
      <c r="C8" s="12">
        <v>4</v>
      </c>
      <c r="D8" s="4" t="s">
        <v>167</v>
      </c>
      <c r="E8" s="4" t="s">
        <v>168</v>
      </c>
      <c r="F8" s="4" t="s">
        <v>169</v>
      </c>
      <c r="G8" s="4" t="s">
        <v>170</v>
      </c>
      <c r="H8" s="4" t="s">
        <v>171</v>
      </c>
      <c r="I8" s="12">
        <f>COUNTIF(Leads!$J$5:$J$304,B8)</f>
        <v>0</v>
      </c>
      <c r="J8" s="12">
        <f>COUNTIFS(Leads!$J$5:$J$304,B8,Leads!$T$5:$T$304,"Hot")</f>
        <v>0</v>
      </c>
    </row>
    <row r="9" spans="1:10" ht="62.1" customHeight="1" x14ac:dyDescent="0.25">
      <c r="A9" s="12">
        <v>5</v>
      </c>
      <c r="B9" s="13" t="s">
        <v>96</v>
      </c>
      <c r="C9" s="12">
        <v>4</v>
      </c>
      <c r="D9" s="4" t="s">
        <v>172</v>
      </c>
      <c r="E9" s="4" t="s">
        <v>173</v>
      </c>
      <c r="F9" s="4" t="s">
        <v>174</v>
      </c>
      <c r="G9" s="4" t="s">
        <v>175</v>
      </c>
      <c r="H9" s="4" t="s">
        <v>176</v>
      </c>
      <c r="I9" s="12">
        <f>COUNTIF(Leads!$J$5:$J$304,B9)</f>
        <v>7</v>
      </c>
      <c r="J9" s="12">
        <f>COUNTIFS(Leads!$J$5:$J$304,B9,Leads!$T$5:$T$304,"Hot")</f>
        <v>0</v>
      </c>
    </row>
    <row r="10" spans="1:10" ht="62.1" customHeight="1" x14ac:dyDescent="0.25">
      <c r="A10" s="12">
        <v>6</v>
      </c>
      <c r="B10" s="13" t="s">
        <v>177</v>
      </c>
      <c r="C10" s="12">
        <v>3</v>
      </c>
      <c r="D10" s="4" t="s">
        <v>178</v>
      </c>
      <c r="E10" s="4" t="s">
        <v>179</v>
      </c>
      <c r="F10" s="4" t="s">
        <v>180</v>
      </c>
      <c r="G10" s="4" t="s">
        <v>181</v>
      </c>
      <c r="H10" s="4" t="s">
        <v>182</v>
      </c>
      <c r="I10" s="12">
        <f>COUNTIF(Leads!$J$5:$J$304,B10)</f>
        <v>0</v>
      </c>
      <c r="J10" s="12">
        <f>COUNTIFS(Leads!$J$5:$J$304,B10,Leads!$T$5:$T$304,"Hot")</f>
        <v>0</v>
      </c>
    </row>
    <row r="11" spans="1:10" ht="62.1" customHeight="1" x14ac:dyDescent="0.25">
      <c r="A11" s="12">
        <v>7</v>
      </c>
      <c r="B11" s="13" t="s">
        <v>183</v>
      </c>
      <c r="C11" s="12">
        <v>3</v>
      </c>
      <c r="D11" s="4" t="s">
        <v>184</v>
      </c>
      <c r="E11" s="4" t="s">
        <v>185</v>
      </c>
      <c r="F11" s="4" t="s">
        <v>186</v>
      </c>
      <c r="G11" s="4" t="s">
        <v>187</v>
      </c>
      <c r="H11" s="4" t="s">
        <v>188</v>
      </c>
      <c r="I11" s="12">
        <f>COUNTIF(Leads!$J$5:$J$304,B11)</f>
        <v>0</v>
      </c>
      <c r="J11" s="12">
        <f>COUNTIFS(Leads!$J$5:$J$304,B11,Leads!$T$5:$T$304,"Hot")</f>
        <v>0</v>
      </c>
    </row>
    <row r="12" spans="1:10" ht="62.1" customHeight="1" x14ac:dyDescent="0.25">
      <c r="A12" s="12">
        <v>8</v>
      </c>
      <c r="B12" s="13" t="s">
        <v>189</v>
      </c>
      <c r="C12" s="12">
        <v>3</v>
      </c>
      <c r="D12" s="4" t="s">
        <v>190</v>
      </c>
      <c r="E12" s="4" t="s">
        <v>191</v>
      </c>
      <c r="F12" s="4" t="s">
        <v>192</v>
      </c>
      <c r="G12" s="4" t="s">
        <v>187</v>
      </c>
      <c r="H12" s="4" t="s">
        <v>193</v>
      </c>
      <c r="I12" s="12">
        <f>COUNTIF(Leads!$J$5:$J$304,B12)</f>
        <v>0</v>
      </c>
      <c r="J12" s="12">
        <f>COUNTIFS(Leads!$J$5:$J$304,B12,Leads!$T$5:$T$304,"Hot")</f>
        <v>0</v>
      </c>
    </row>
    <row r="13" spans="1:10" ht="62.1" customHeight="1" x14ac:dyDescent="0.25">
      <c r="A13" s="12">
        <v>9</v>
      </c>
      <c r="B13" s="13" t="s">
        <v>194</v>
      </c>
      <c r="C13" s="12">
        <v>3</v>
      </c>
      <c r="D13" s="4" t="s">
        <v>195</v>
      </c>
      <c r="E13" s="4" t="s">
        <v>196</v>
      </c>
      <c r="F13" s="4" t="s">
        <v>197</v>
      </c>
      <c r="G13" s="4" t="s">
        <v>198</v>
      </c>
      <c r="H13" s="4" t="s">
        <v>199</v>
      </c>
      <c r="I13" s="12">
        <f>COUNTIF(Leads!$J$5:$J$304,B13)</f>
        <v>0</v>
      </c>
      <c r="J13" s="12">
        <f>COUNTIFS(Leads!$J$5:$J$304,B13,Leads!$T$5:$T$304,"Hot")</f>
        <v>0</v>
      </c>
    </row>
    <row r="14" spans="1:10" ht="62.1" customHeight="1" x14ac:dyDescent="0.25">
      <c r="A14" s="12">
        <v>10</v>
      </c>
      <c r="B14" s="13" t="s">
        <v>200</v>
      </c>
      <c r="C14" s="12">
        <v>2</v>
      </c>
      <c r="D14" s="4" t="s">
        <v>201</v>
      </c>
      <c r="E14" s="4" t="s">
        <v>202</v>
      </c>
      <c r="F14" s="4" t="s">
        <v>203</v>
      </c>
      <c r="G14" s="4" t="s">
        <v>198</v>
      </c>
      <c r="H14" s="4" t="s">
        <v>204</v>
      </c>
      <c r="I14" s="12">
        <f>COUNTIF(Leads!$J$5:$J$304,B14)</f>
        <v>0</v>
      </c>
      <c r="J14" s="12">
        <f>COUNTIFS(Leads!$J$5:$J$304,B14,Leads!$T$5:$T$304,"Hot")</f>
        <v>0</v>
      </c>
    </row>
    <row r="15" spans="1:10" ht="62.1" customHeight="1" x14ac:dyDescent="0.25">
      <c r="A15" s="12">
        <v>11</v>
      </c>
      <c r="B15" s="13" t="s">
        <v>205</v>
      </c>
      <c r="C15" s="12">
        <v>2</v>
      </c>
      <c r="D15" s="4" t="s">
        <v>206</v>
      </c>
      <c r="E15" s="4" t="s">
        <v>207</v>
      </c>
      <c r="F15" s="4" t="s">
        <v>208</v>
      </c>
      <c r="G15" s="4" t="s">
        <v>209</v>
      </c>
      <c r="H15" s="4" t="s">
        <v>210</v>
      </c>
      <c r="I15" s="12">
        <f>COUNTIF(Leads!$J$5:$J$304,B15)</f>
        <v>0</v>
      </c>
      <c r="J15" s="12">
        <f>COUNTIFS(Leads!$J$5:$J$304,B15,Leads!$T$5:$T$304,"Hot")</f>
        <v>0</v>
      </c>
    </row>
    <row r="16" spans="1:10" ht="62.1" customHeight="1" x14ac:dyDescent="0.25">
      <c r="A16" s="12">
        <v>12</v>
      </c>
      <c r="B16" s="13" t="s">
        <v>211</v>
      </c>
      <c r="C16" s="12">
        <v>2</v>
      </c>
      <c r="D16" s="4" t="s">
        <v>212</v>
      </c>
      <c r="E16" s="4" t="s">
        <v>213</v>
      </c>
      <c r="F16" s="4" t="s">
        <v>213</v>
      </c>
      <c r="G16" s="4" t="s">
        <v>198</v>
      </c>
      <c r="H16" s="4"/>
      <c r="I16" s="12">
        <f>COUNTIF(Leads!$J$5:$J$304,B16)</f>
        <v>0</v>
      </c>
      <c r="J16" s="12">
        <f>COUNTIFS(Leads!$J$5:$J$304,B16,Leads!$T$5:$T$304,"Hot")</f>
        <v>0</v>
      </c>
    </row>
    <row r="18" spans="1:8" x14ac:dyDescent="0.25">
      <c r="A18" s="19" t="s">
        <v>214</v>
      </c>
      <c r="B18" s="20"/>
      <c r="C18" s="20"/>
      <c r="D18" s="20"/>
      <c r="E18" s="20"/>
      <c r="F18" s="20"/>
      <c r="G18" s="20"/>
      <c r="H18" s="20"/>
    </row>
    <row r="19" spans="1:8" x14ac:dyDescent="0.25">
      <c r="A19" s="20"/>
      <c r="B19" s="20"/>
      <c r="C19" s="20"/>
      <c r="D19" s="20"/>
      <c r="E19" s="20"/>
      <c r="F19" s="20"/>
      <c r="G19" s="20"/>
      <c r="H19" s="20"/>
    </row>
    <row r="20" spans="1:8" x14ac:dyDescent="0.25">
      <c r="A20" s="20"/>
      <c r="B20" s="20"/>
      <c r="C20" s="20"/>
      <c r="D20" s="20"/>
      <c r="E20" s="20"/>
      <c r="F20" s="20"/>
      <c r="G20" s="20"/>
      <c r="H20" s="20"/>
    </row>
  </sheetData>
  <mergeCells count="1">
    <mergeCell ref="A18:H20"/>
  </mergeCells>
  <conditionalFormatting sqref="C5:C16">
    <cfRule type="cellIs" dxfId="1" priority="1" operator="greaterThanOrEqual">
      <formula>4</formula>
    </cfRule>
    <cfRule type="cellIs" dxfId="0" priority="2" operator="lessThanOrEqual">
      <formula>2</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D3FE0"/>
  </sheetPr>
  <dimension ref="A1:D23"/>
  <sheetViews>
    <sheetView showGridLines="0" workbookViewId="0"/>
  </sheetViews>
  <sheetFormatPr defaultRowHeight="15" x14ac:dyDescent="0.25"/>
  <cols>
    <col min="1" max="1" width="30" customWidth="1"/>
    <col min="2" max="2" width="40" customWidth="1"/>
    <col min="3" max="3" width="56" customWidth="1"/>
    <col min="4" max="4" width="50" customWidth="1"/>
  </cols>
  <sheetData>
    <row r="1" spans="1:4" ht="20.25" x14ac:dyDescent="0.3">
      <c r="A1" s="1" t="s">
        <v>215</v>
      </c>
    </row>
    <row r="2" spans="1:4" x14ac:dyDescent="0.25">
      <c r="A2" s="2" t="s">
        <v>216</v>
      </c>
    </row>
    <row r="4" spans="1:4" ht="33.950000000000003" customHeight="1" x14ac:dyDescent="0.25">
      <c r="A4" s="5" t="s">
        <v>217</v>
      </c>
      <c r="B4" s="5" t="s">
        <v>218</v>
      </c>
      <c r="C4" s="5" t="s">
        <v>219</v>
      </c>
      <c r="D4" s="5" t="s">
        <v>220</v>
      </c>
    </row>
    <row r="5" spans="1:4" ht="48" customHeight="1" x14ac:dyDescent="0.25">
      <c r="A5" s="13" t="s">
        <v>221</v>
      </c>
      <c r="B5" s="4" t="s">
        <v>222</v>
      </c>
      <c r="C5" s="4" t="s">
        <v>223</v>
      </c>
      <c r="D5" s="4" t="s">
        <v>224</v>
      </c>
    </row>
    <row r="6" spans="1:4" ht="48" customHeight="1" x14ac:dyDescent="0.25">
      <c r="A6" s="13" t="s">
        <v>225</v>
      </c>
      <c r="B6" s="4" t="s">
        <v>226</v>
      </c>
      <c r="C6" s="4" t="s">
        <v>227</v>
      </c>
      <c r="D6" s="4" t="s">
        <v>228</v>
      </c>
    </row>
    <row r="7" spans="1:4" ht="48" customHeight="1" x14ac:dyDescent="0.25">
      <c r="A7" s="13" t="s">
        <v>229</v>
      </c>
      <c r="B7" s="4" t="s">
        <v>230</v>
      </c>
      <c r="C7" s="4" t="s">
        <v>231</v>
      </c>
      <c r="D7" s="4" t="s">
        <v>232</v>
      </c>
    </row>
    <row r="8" spans="1:4" ht="48" customHeight="1" x14ac:dyDescent="0.25">
      <c r="A8" s="13" t="s">
        <v>233</v>
      </c>
      <c r="B8" s="4" t="s">
        <v>234</v>
      </c>
      <c r="C8" s="4" t="s">
        <v>235</v>
      </c>
      <c r="D8" s="4" t="s">
        <v>236</v>
      </c>
    </row>
    <row r="9" spans="1:4" ht="48" customHeight="1" x14ac:dyDescent="0.25">
      <c r="A9" s="13" t="s">
        <v>237</v>
      </c>
      <c r="B9" s="4" t="s">
        <v>238</v>
      </c>
      <c r="C9" s="4" t="s">
        <v>239</v>
      </c>
      <c r="D9" s="4" t="s">
        <v>240</v>
      </c>
    </row>
    <row r="10" spans="1:4" ht="48" customHeight="1" x14ac:dyDescent="0.25">
      <c r="A10" s="13" t="s">
        <v>241</v>
      </c>
      <c r="B10" s="4" t="s">
        <v>242</v>
      </c>
      <c r="C10" s="4" t="s">
        <v>243</v>
      </c>
      <c r="D10" s="4" t="s">
        <v>244</v>
      </c>
    </row>
    <row r="11" spans="1:4" ht="48" customHeight="1" x14ac:dyDescent="0.25">
      <c r="A11" s="13" t="s">
        <v>245</v>
      </c>
      <c r="B11" s="4" t="s">
        <v>246</v>
      </c>
      <c r="C11" s="4" t="s">
        <v>247</v>
      </c>
      <c r="D11" s="4" t="s">
        <v>248</v>
      </c>
    </row>
    <row r="12" spans="1:4" ht="48" customHeight="1" x14ac:dyDescent="0.25">
      <c r="A12" s="13" t="s">
        <v>249</v>
      </c>
      <c r="B12" s="4" t="s">
        <v>250</v>
      </c>
      <c r="C12" s="4" t="s">
        <v>251</v>
      </c>
      <c r="D12" s="4" t="s">
        <v>252</v>
      </c>
    </row>
    <row r="14" spans="1:4" ht="15.75" x14ac:dyDescent="0.25">
      <c r="A14" s="14" t="s">
        <v>253</v>
      </c>
    </row>
    <row r="15" spans="1:4" x14ac:dyDescent="0.25">
      <c r="A15" s="21" t="s">
        <v>254</v>
      </c>
      <c r="B15" s="20"/>
      <c r="C15" s="20"/>
      <c r="D15" s="20"/>
    </row>
    <row r="16" spans="1:4" x14ac:dyDescent="0.25">
      <c r="A16" s="21" t="s">
        <v>255</v>
      </c>
      <c r="B16" s="20"/>
      <c r="C16" s="20"/>
      <c r="D16" s="20"/>
    </row>
    <row r="17" spans="1:4" x14ac:dyDescent="0.25">
      <c r="A17" s="21" t="s">
        <v>256</v>
      </c>
      <c r="B17" s="20"/>
      <c r="C17" s="20"/>
      <c r="D17" s="20"/>
    </row>
    <row r="18" spans="1:4" x14ac:dyDescent="0.25">
      <c r="A18" s="21" t="s">
        <v>257</v>
      </c>
      <c r="B18" s="20"/>
      <c r="C18" s="20"/>
      <c r="D18" s="20"/>
    </row>
    <row r="19" spans="1:4" x14ac:dyDescent="0.25">
      <c r="A19" s="21" t="s">
        <v>258</v>
      </c>
      <c r="B19" s="20"/>
      <c r="C19" s="20"/>
      <c r="D19" s="20"/>
    </row>
    <row r="21" spans="1:4" x14ac:dyDescent="0.25">
      <c r="A21" s="22" t="s">
        <v>259</v>
      </c>
      <c r="B21" s="20"/>
      <c r="C21" s="20"/>
      <c r="D21" s="20"/>
    </row>
    <row r="22" spans="1:4" x14ac:dyDescent="0.25">
      <c r="A22" s="20"/>
      <c r="B22" s="20"/>
      <c r="C22" s="20"/>
      <c r="D22" s="20"/>
    </row>
    <row r="23" spans="1:4" x14ac:dyDescent="0.25">
      <c r="A23" s="20"/>
      <c r="B23" s="20"/>
      <c r="C23" s="20"/>
      <c r="D23" s="20"/>
    </row>
  </sheetData>
  <mergeCells count="6">
    <mergeCell ref="A17:D17"/>
    <mergeCell ref="A18:D18"/>
    <mergeCell ref="A21:D23"/>
    <mergeCell ref="A15:D15"/>
    <mergeCell ref="A19:D19"/>
    <mergeCell ref="A16:D1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D3FE0"/>
  </sheetPr>
  <dimension ref="A1:E30"/>
  <sheetViews>
    <sheetView showGridLines="0" workbookViewId="0"/>
  </sheetViews>
  <sheetFormatPr defaultRowHeight="15" x14ac:dyDescent="0.25"/>
  <cols>
    <col min="1" max="1" width="36" customWidth="1"/>
    <col min="2" max="2" width="12" customWidth="1"/>
    <col min="4" max="4" width="36" customWidth="1"/>
    <col min="5" max="5" width="12" customWidth="1"/>
  </cols>
  <sheetData>
    <row r="1" spans="1:5" ht="20.25" x14ac:dyDescent="0.3">
      <c r="A1" s="1" t="s">
        <v>260</v>
      </c>
    </row>
    <row r="2" spans="1:5" x14ac:dyDescent="0.25">
      <c r="A2" s="2" t="s">
        <v>261</v>
      </c>
    </row>
    <row r="4" spans="1:5" ht="33.950000000000003" customHeight="1" x14ac:dyDescent="0.25">
      <c r="A4" s="5" t="s">
        <v>262</v>
      </c>
      <c r="B4" s="5" t="s">
        <v>263</v>
      </c>
      <c r="D4" s="5" t="s">
        <v>264</v>
      </c>
      <c r="E4" s="5" t="s">
        <v>128</v>
      </c>
    </row>
    <row r="5" spans="1:5" x14ac:dyDescent="0.25">
      <c r="A5" s="15" t="s">
        <v>265</v>
      </c>
      <c r="B5" s="12">
        <f>COUNTA(Leads!$C$5:$C$304)</f>
        <v>19</v>
      </c>
      <c r="D5" s="16" t="s">
        <v>31</v>
      </c>
      <c r="E5" s="12">
        <f>COUNTIF(Leads!$J$5:$J$304,D5)</f>
        <v>6</v>
      </c>
    </row>
    <row r="6" spans="1:5" x14ac:dyDescent="0.25">
      <c r="A6" s="15" t="s">
        <v>152</v>
      </c>
      <c r="B6" s="12">
        <f>COUNTIF(Leads!$T$5:$T$304,"Hot")</f>
        <v>0</v>
      </c>
      <c r="D6" s="16" t="s">
        <v>62</v>
      </c>
      <c r="E6" s="12">
        <f>COUNTIF(Leads!$J$5:$J$304,D6)</f>
        <v>3</v>
      </c>
    </row>
    <row r="7" spans="1:5" x14ac:dyDescent="0.25">
      <c r="A7" s="15" t="s">
        <v>266</v>
      </c>
      <c r="B7" s="12">
        <f>COUNTIF(Leads!$T$5:$T$304,"Warm")</f>
        <v>9</v>
      </c>
      <c r="D7" s="16" t="s">
        <v>76</v>
      </c>
      <c r="E7" s="12">
        <f>COUNTIF(Leads!$J$5:$J$304,D7)</f>
        <v>3</v>
      </c>
    </row>
    <row r="8" spans="1:5" x14ac:dyDescent="0.25">
      <c r="A8" s="15" t="s">
        <v>267</v>
      </c>
      <c r="B8" s="12">
        <f>COUNTIF(Leads!$T$5:$T$304,"Cold")</f>
        <v>10</v>
      </c>
      <c r="D8" s="16" t="s">
        <v>166</v>
      </c>
      <c r="E8" s="12">
        <f>COUNTIF(Leads!$J$5:$J$304,D8)</f>
        <v>0</v>
      </c>
    </row>
    <row r="9" spans="1:5" x14ac:dyDescent="0.25">
      <c r="A9" s="15" t="s">
        <v>268</v>
      </c>
      <c r="B9" s="12">
        <f>COUNTIF(Leads!$R$5:$R$304,"Won")</f>
        <v>0</v>
      </c>
      <c r="D9" s="16" t="s">
        <v>96</v>
      </c>
      <c r="E9" s="12">
        <f>COUNTIF(Leads!$J$5:$J$304,D9)</f>
        <v>7</v>
      </c>
    </row>
    <row r="10" spans="1:5" x14ac:dyDescent="0.25">
      <c r="A10" s="15" t="s">
        <v>269</v>
      </c>
      <c r="B10" s="12">
        <f ca="1">COUNTIFS(Leads!$V$5:$V$304,"&lt;"&amp;TODAY(),Leads!$V$5:$V$304,"&lt;&gt;",Leads!$R$5:$R$304,"&lt;&gt;Won",Leads!$R$5:$R$304,"&lt;&gt;Lost",Leads!$R$5:$R$304,"&lt;&gt;Not a fit")</f>
        <v>0</v>
      </c>
      <c r="D10" s="16" t="s">
        <v>177</v>
      </c>
      <c r="E10" s="12">
        <f>COUNTIF(Leads!$J$5:$J$304,D10)</f>
        <v>0</v>
      </c>
    </row>
    <row r="11" spans="1:5" x14ac:dyDescent="0.25">
      <c r="A11" s="15" t="s">
        <v>270</v>
      </c>
      <c r="B11" s="17">
        <f>IF(B9+COUNTIF(Leads!$R$5:$R$304,"Lost")=0,0,B9/(B9+COUNTIF(Leads!$R$5:$R$304,"Lost")))</f>
        <v>0</v>
      </c>
      <c r="D11" s="16" t="s">
        <v>183</v>
      </c>
      <c r="E11" s="12">
        <f>COUNTIF(Leads!$J$5:$J$304,D11)</f>
        <v>0</v>
      </c>
    </row>
    <row r="12" spans="1:5" x14ac:dyDescent="0.25">
      <c r="D12" s="16" t="s">
        <v>189</v>
      </c>
      <c r="E12" s="12">
        <f>COUNTIF(Leads!$J$5:$J$304,D12)</f>
        <v>0</v>
      </c>
    </row>
    <row r="13" spans="1:5" x14ac:dyDescent="0.25">
      <c r="D13" s="16" t="s">
        <v>194</v>
      </c>
      <c r="E13" s="12">
        <f>COUNTIF(Leads!$J$5:$J$304,D13)</f>
        <v>0</v>
      </c>
    </row>
    <row r="14" spans="1:5" ht="33.950000000000003" customHeight="1" x14ac:dyDescent="0.25">
      <c r="A14" s="5" t="s">
        <v>271</v>
      </c>
      <c r="B14" s="5" t="s">
        <v>128</v>
      </c>
      <c r="D14" s="16" t="s">
        <v>200</v>
      </c>
      <c r="E14" s="12">
        <f>COUNTIF(Leads!$J$5:$J$304,D14)</f>
        <v>0</v>
      </c>
    </row>
    <row r="15" spans="1:5" x14ac:dyDescent="0.25">
      <c r="A15" s="16" t="s">
        <v>35</v>
      </c>
      <c r="B15" s="12">
        <f>COUNTIF(Leads!$R$5:$R$304,A15)</f>
        <v>19</v>
      </c>
      <c r="D15" s="16" t="s">
        <v>205</v>
      </c>
      <c r="E15" s="12">
        <f>COUNTIF(Leads!$J$5:$J$304,D15)</f>
        <v>0</v>
      </c>
    </row>
    <row r="16" spans="1:5" x14ac:dyDescent="0.25">
      <c r="A16" s="16" t="s">
        <v>272</v>
      </c>
      <c r="B16" s="12">
        <f>COUNTIF(Leads!$R$5:$R$304,A16)</f>
        <v>0</v>
      </c>
      <c r="D16" s="16" t="s">
        <v>211</v>
      </c>
      <c r="E16" s="12">
        <f>COUNTIF(Leads!$J$5:$J$304,D16)</f>
        <v>0</v>
      </c>
    </row>
    <row r="17" spans="1:5" x14ac:dyDescent="0.25">
      <c r="A17" s="16" t="s">
        <v>273</v>
      </c>
      <c r="B17" s="12">
        <f>COUNTIF(Leads!$R$5:$R$304,A17)</f>
        <v>0</v>
      </c>
    </row>
    <row r="18" spans="1:5" ht="33.950000000000003" customHeight="1" x14ac:dyDescent="0.25">
      <c r="A18" s="16" t="s">
        <v>274</v>
      </c>
      <c r="B18" s="12">
        <f>COUNTIF(Leads!$R$5:$R$304,A18)</f>
        <v>0</v>
      </c>
      <c r="D18" s="5" t="s">
        <v>275</v>
      </c>
      <c r="E18" s="5" t="s">
        <v>128</v>
      </c>
    </row>
    <row r="19" spans="1:5" x14ac:dyDescent="0.25">
      <c r="A19" s="16" t="s">
        <v>276</v>
      </c>
      <c r="B19" s="12">
        <f>COUNTIF(Leads!$R$5:$R$304,A19)</f>
        <v>0</v>
      </c>
      <c r="D19" s="16" t="s">
        <v>34</v>
      </c>
      <c r="E19" s="12">
        <f>COUNTIF(Leads!$Q$5:$Q$304,D19)</f>
        <v>19</v>
      </c>
    </row>
    <row r="20" spans="1:5" x14ac:dyDescent="0.25">
      <c r="A20" s="16" t="s">
        <v>277</v>
      </c>
      <c r="B20" s="12">
        <f>COUNTIF(Leads!$R$5:$R$304,A20)</f>
        <v>0</v>
      </c>
      <c r="D20" s="16" t="s">
        <v>278</v>
      </c>
      <c r="E20" s="12">
        <f>COUNTIF(Leads!$Q$5:$Q$304,D20)</f>
        <v>0</v>
      </c>
    </row>
    <row r="21" spans="1:5" x14ac:dyDescent="0.25">
      <c r="A21" s="16" t="s">
        <v>268</v>
      </c>
      <c r="B21" s="12">
        <f>COUNTIF(Leads!$R$5:$R$304,A21)</f>
        <v>0</v>
      </c>
      <c r="D21" s="16" t="s">
        <v>279</v>
      </c>
      <c r="E21" s="12">
        <f>COUNTIF(Leads!$Q$5:$Q$304,D21)</f>
        <v>0</v>
      </c>
    </row>
    <row r="22" spans="1:5" x14ac:dyDescent="0.25">
      <c r="A22" s="16" t="s">
        <v>280</v>
      </c>
      <c r="B22" s="12">
        <f>COUNTIF(Leads!$R$5:$R$304,A22)</f>
        <v>0</v>
      </c>
      <c r="D22" s="16" t="s">
        <v>281</v>
      </c>
      <c r="E22" s="12">
        <f>COUNTIF(Leads!$Q$5:$Q$304,D22)</f>
        <v>0</v>
      </c>
    </row>
    <row r="23" spans="1:5" x14ac:dyDescent="0.25">
      <c r="A23" s="16" t="s">
        <v>282</v>
      </c>
      <c r="B23" s="12">
        <f>COUNTIF(Leads!$R$5:$R$304,A23)</f>
        <v>0</v>
      </c>
      <c r="D23" s="16" t="s">
        <v>283</v>
      </c>
      <c r="E23" s="12">
        <f>COUNTIF(Leads!$Q$5:$Q$304,D23)</f>
        <v>0</v>
      </c>
    </row>
    <row r="24" spans="1:5" x14ac:dyDescent="0.25">
      <c r="D24" s="16" t="s">
        <v>241</v>
      </c>
      <c r="E24" s="12">
        <f>COUNTIF(Leads!$Q$5:$Q$304,D24)</f>
        <v>0</v>
      </c>
    </row>
    <row r="25" spans="1:5" ht="33.950000000000003" customHeight="1" x14ac:dyDescent="0.25">
      <c r="A25" s="5" t="s">
        <v>284</v>
      </c>
      <c r="B25" s="5" t="s">
        <v>128</v>
      </c>
      <c r="D25" s="16" t="s">
        <v>285</v>
      </c>
      <c r="E25" s="12">
        <f>COUNTIF(Leads!$Q$5:$Q$304,D25)</f>
        <v>0</v>
      </c>
    </row>
    <row r="26" spans="1:5" x14ac:dyDescent="0.25">
      <c r="A26" s="16" t="s">
        <v>286</v>
      </c>
      <c r="B26" s="12">
        <f>COUNTIF(Leads!$P$5:$P$304,A26)</f>
        <v>0</v>
      </c>
      <c r="D26" s="16" t="s">
        <v>287</v>
      </c>
      <c r="E26" s="12">
        <f>COUNTIF(Leads!$Q$5:$Q$304,D26)</f>
        <v>0</v>
      </c>
    </row>
    <row r="27" spans="1:5" x14ac:dyDescent="0.25">
      <c r="A27" s="16" t="s">
        <v>288</v>
      </c>
      <c r="B27" s="12">
        <f>COUNTIF(Leads!$P$5:$P$304,A27)</f>
        <v>0</v>
      </c>
      <c r="D27" s="16" t="s">
        <v>289</v>
      </c>
      <c r="E27" s="12">
        <f>COUNTIF(Leads!$Q$5:$Q$304,D27)</f>
        <v>0</v>
      </c>
    </row>
    <row r="28" spans="1:5" x14ac:dyDescent="0.25">
      <c r="A28" s="16" t="s">
        <v>290</v>
      </c>
      <c r="B28" s="12">
        <f>COUNTIF(Leads!$P$5:$P$304,A28)</f>
        <v>0</v>
      </c>
      <c r="D28" s="16" t="s">
        <v>291</v>
      </c>
      <c r="E28" s="12">
        <f>COUNTIF(Leads!$Q$5:$Q$304,D28)</f>
        <v>0</v>
      </c>
    </row>
    <row r="29" spans="1:5" x14ac:dyDescent="0.25">
      <c r="A29" s="16" t="s">
        <v>292</v>
      </c>
      <c r="B29" s="12">
        <f>COUNTIF(Leads!$P$5:$P$304,A29)</f>
        <v>0</v>
      </c>
      <c r="D29" s="16" t="s">
        <v>293</v>
      </c>
      <c r="E29" s="12">
        <f>COUNTIF(Leads!$Q$5:$Q$304,D29)</f>
        <v>0</v>
      </c>
    </row>
    <row r="30" spans="1:5" x14ac:dyDescent="0.25">
      <c r="A30" s="16" t="s">
        <v>33</v>
      </c>
      <c r="B30" s="12">
        <f>COUNTIF(Leads!$P$5:$P$304,A30)</f>
        <v>19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D3FE0"/>
  </sheetPr>
  <dimension ref="A1:S22"/>
  <sheetViews>
    <sheetView showGridLines="0" workbookViewId="0"/>
  </sheetViews>
  <sheetFormatPr defaultRowHeight="15" x14ac:dyDescent="0.25"/>
  <cols>
    <col min="1" max="1" width="38" customWidth="1"/>
    <col min="2" max="2" width="9" customWidth="1"/>
    <col min="4" max="4" width="38" customWidth="1"/>
    <col min="5" max="5" width="9" customWidth="1"/>
    <col min="7" max="7" width="38" customWidth="1"/>
    <col min="8" max="8" width="9" customWidth="1"/>
    <col min="10" max="10" width="38" customWidth="1"/>
    <col min="11" max="11" width="9" customWidth="1"/>
    <col min="13" max="13" width="38" customWidth="1"/>
    <col min="15" max="15" width="38" customWidth="1"/>
    <col min="17" max="17" width="38" customWidth="1"/>
    <col min="19" max="19" width="38" customWidth="1"/>
  </cols>
  <sheetData>
    <row r="1" spans="1:19" ht="20.25" x14ac:dyDescent="0.3">
      <c r="A1" s="1" t="s">
        <v>294</v>
      </c>
    </row>
    <row r="2" spans="1:19" x14ac:dyDescent="0.25">
      <c r="A2" s="2" t="s">
        <v>295</v>
      </c>
    </row>
    <row r="4" spans="1:19" ht="33.950000000000003" customHeight="1" x14ac:dyDescent="0.25">
      <c r="A4" s="5" t="s">
        <v>11</v>
      </c>
      <c r="B4" s="5" t="s">
        <v>296</v>
      </c>
      <c r="D4" s="5" t="s">
        <v>12</v>
      </c>
      <c r="E4" s="5" t="s">
        <v>296</v>
      </c>
      <c r="G4" s="5" t="s">
        <v>14</v>
      </c>
      <c r="H4" s="5" t="s">
        <v>296</v>
      </c>
      <c r="J4" s="5" t="s">
        <v>17</v>
      </c>
      <c r="K4" s="5" t="s">
        <v>296</v>
      </c>
      <c r="M4" s="5" t="s">
        <v>18</v>
      </c>
      <c r="O4" s="5" t="s">
        <v>19</v>
      </c>
      <c r="Q4" s="5" t="s">
        <v>15</v>
      </c>
      <c r="S4" s="5" t="s">
        <v>10</v>
      </c>
    </row>
    <row r="5" spans="1:19" x14ac:dyDescent="0.25">
      <c r="A5" s="4" t="s">
        <v>31</v>
      </c>
      <c r="B5" s="18">
        <v>40</v>
      </c>
      <c r="D5" s="4" t="s">
        <v>297</v>
      </c>
      <c r="E5" s="18">
        <v>12</v>
      </c>
      <c r="G5" s="4" t="s">
        <v>298</v>
      </c>
      <c r="H5" s="18">
        <v>20</v>
      </c>
      <c r="J5" s="4" t="s">
        <v>286</v>
      </c>
      <c r="K5" s="18">
        <v>20</v>
      </c>
      <c r="M5" s="4" t="s">
        <v>34</v>
      </c>
      <c r="O5" s="4" t="s">
        <v>35</v>
      </c>
      <c r="Q5" s="4" t="s">
        <v>299</v>
      </c>
      <c r="S5" s="4" t="s">
        <v>30</v>
      </c>
    </row>
    <row r="6" spans="1:19" x14ac:dyDescent="0.25">
      <c r="A6" s="4" t="s">
        <v>62</v>
      </c>
      <c r="B6" s="18">
        <v>40</v>
      </c>
      <c r="D6" s="4" t="s">
        <v>300</v>
      </c>
      <c r="E6" s="18">
        <v>20</v>
      </c>
      <c r="G6" s="4" t="s">
        <v>301</v>
      </c>
      <c r="H6" s="18">
        <v>20</v>
      </c>
      <c r="J6" s="4" t="s">
        <v>288</v>
      </c>
      <c r="K6" s="18">
        <v>15</v>
      </c>
      <c r="M6" s="4" t="s">
        <v>278</v>
      </c>
      <c r="O6" s="4" t="s">
        <v>272</v>
      </c>
      <c r="Q6" s="4" t="s">
        <v>302</v>
      </c>
      <c r="S6" s="4" t="s">
        <v>303</v>
      </c>
    </row>
    <row r="7" spans="1:19" x14ac:dyDescent="0.25">
      <c r="A7" s="4" t="s">
        <v>76</v>
      </c>
      <c r="B7" s="18">
        <v>32</v>
      </c>
      <c r="D7" s="4" t="s">
        <v>304</v>
      </c>
      <c r="E7" s="18">
        <v>10</v>
      </c>
      <c r="G7" s="4" t="s">
        <v>305</v>
      </c>
      <c r="H7" s="18">
        <v>16</v>
      </c>
      <c r="J7" s="4" t="s">
        <v>290</v>
      </c>
      <c r="K7" s="18">
        <v>8</v>
      </c>
      <c r="M7" s="4" t="s">
        <v>279</v>
      </c>
      <c r="O7" s="4" t="s">
        <v>273</v>
      </c>
      <c r="Q7" s="4" t="s">
        <v>306</v>
      </c>
      <c r="S7" s="4" t="s">
        <v>307</v>
      </c>
    </row>
    <row r="8" spans="1:19" x14ac:dyDescent="0.25">
      <c r="A8" s="4" t="s">
        <v>166</v>
      </c>
      <c r="B8" s="18">
        <v>32</v>
      </c>
      <c r="D8" s="4" t="s">
        <v>32</v>
      </c>
      <c r="E8" s="18">
        <v>5</v>
      </c>
      <c r="G8" s="4" t="s">
        <v>308</v>
      </c>
      <c r="H8" s="18">
        <v>18</v>
      </c>
      <c r="J8" s="4" t="s">
        <v>292</v>
      </c>
      <c r="K8" s="18">
        <v>0</v>
      </c>
      <c r="M8" s="4" t="s">
        <v>281</v>
      </c>
      <c r="O8" s="4" t="s">
        <v>274</v>
      </c>
      <c r="Q8" s="4" t="s">
        <v>309</v>
      </c>
      <c r="S8" s="4" t="s">
        <v>310</v>
      </c>
    </row>
    <row r="9" spans="1:19" x14ac:dyDescent="0.25">
      <c r="A9" s="4" t="s">
        <v>177</v>
      </c>
      <c r="B9" s="18">
        <v>24</v>
      </c>
      <c r="G9" s="4" t="s">
        <v>311</v>
      </c>
      <c r="H9" s="18">
        <v>12</v>
      </c>
      <c r="J9" s="4" t="s">
        <v>33</v>
      </c>
      <c r="K9" s="18">
        <v>4</v>
      </c>
      <c r="M9" s="4" t="s">
        <v>283</v>
      </c>
      <c r="O9" s="4" t="s">
        <v>276</v>
      </c>
      <c r="Q9" s="4" t="s">
        <v>312</v>
      </c>
      <c r="S9" s="4" t="s">
        <v>313</v>
      </c>
    </row>
    <row r="10" spans="1:19" x14ac:dyDescent="0.25">
      <c r="A10" s="4" t="s">
        <v>183</v>
      </c>
      <c r="B10" s="18">
        <v>24</v>
      </c>
      <c r="G10" s="4" t="s">
        <v>314</v>
      </c>
      <c r="H10" s="18">
        <v>5</v>
      </c>
      <c r="M10" s="4" t="s">
        <v>241</v>
      </c>
      <c r="O10" s="4" t="s">
        <v>277</v>
      </c>
      <c r="Q10" s="4" t="s">
        <v>315</v>
      </c>
      <c r="S10" s="4" t="s">
        <v>316</v>
      </c>
    </row>
    <row r="11" spans="1:19" x14ac:dyDescent="0.25">
      <c r="A11" s="4" t="s">
        <v>189</v>
      </c>
      <c r="B11" s="18">
        <v>24</v>
      </c>
      <c r="G11" s="4" t="s">
        <v>32</v>
      </c>
      <c r="H11" s="18">
        <v>8</v>
      </c>
      <c r="M11" s="4" t="s">
        <v>285</v>
      </c>
      <c r="O11" s="4" t="s">
        <v>268</v>
      </c>
      <c r="Q11" s="4" t="s">
        <v>317</v>
      </c>
      <c r="S11" s="4" t="s">
        <v>318</v>
      </c>
    </row>
    <row r="12" spans="1:19" x14ac:dyDescent="0.25">
      <c r="A12" s="4" t="s">
        <v>96</v>
      </c>
      <c r="B12" s="18">
        <v>32</v>
      </c>
      <c r="M12" s="4" t="s">
        <v>287</v>
      </c>
      <c r="O12" s="4" t="s">
        <v>280</v>
      </c>
      <c r="Q12" s="4" t="s">
        <v>319</v>
      </c>
      <c r="S12" s="4" t="s">
        <v>320</v>
      </c>
    </row>
    <row r="13" spans="1:19" x14ac:dyDescent="0.25">
      <c r="A13" s="4" t="s">
        <v>194</v>
      </c>
      <c r="B13" s="18">
        <v>24</v>
      </c>
      <c r="M13" s="4" t="s">
        <v>289</v>
      </c>
      <c r="O13" s="4" t="s">
        <v>282</v>
      </c>
      <c r="Q13" s="4" t="s">
        <v>321</v>
      </c>
      <c r="S13" s="4" t="s">
        <v>322</v>
      </c>
    </row>
    <row r="14" spans="1:19" x14ac:dyDescent="0.25">
      <c r="A14" s="4" t="s">
        <v>200</v>
      </c>
      <c r="B14" s="18">
        <v>16</v>
      </c>
      <c r="M14" s="4" t="s">
        <v>291</v>
      </c>
      <c r="Q14" s="4" t="s">
        <v>293</v>
      </c>
      <c r="S14" s="4" t="s">
        <v>323</v>
      </c>
    </row>
    <row r="15" spans="1:19" x14ac:dyDescent="0.25">
      <c r="A15" s="4" t="s">
        <v>205</v>
      </c>
      <c r="B15" s="18">
        <v>16</v>
      </c>
      <c r="M15" s="4" t="s">
        <v>293</v>
      </c>
      <c r="S15" s="4" t="s">
        <v>324</v>
      </c>
    </row>
    <row r="16" spans="1:19" x14ac:dyDescent="0.25">
      <c r="A16" s="4" t="s">
        <v>211</v>
      </c>
      <c r="B16" s="18">
        <v>16</v>
      </c>
      <c r="S16" s="4" t="s">
        <v>325</v>
      </c>
    </row>
    <row r="17" spans="1:19" x14ac:dyDescent="0.25">
      <c r="S17" s="4" t="s">
        <v>326</v>
      </c>
    </row>
    <row r="18" spans="1:19" x14ac:dyDescent="0.25">
      <c r="S18" s="4" t="s">
        <v>327</v>
      </c>
    </row>
    <row r="19" spans="1:19" x14ac:dyDescent="0.25">
      <c r="S19" s="4" t="s">
        <v>293</v>
      </c>
    </row>
    <row r="20" spans="1:19" x14ac:dyDescent="0.25">
      <c r="A20" s="19" t="s">
        <v>328</v>
      </c>
      <c r="B20" s="20"/>
      <c r="C20" s="20"/>
      <c r="D20" s="20"/>
      <c r="E20" s="20"/>
      <c r="F20" s="20"/>
      <c r="G20" s="20"/>
      <c r="H20" s="20"/>
    </row>
    <row r="21" spans="1:19" x14ac:dyDescent="0.25">
      <c r="A21" s="20"/>
      <c r="B21" s="20"/>
      <c r="C21" s="20"/>
      <c r="D21" s="20"/>
      <c r="E21" s="20"/>
      <c r="F21" s="20"/>
      <c r="G21" s="20"/>
      <c r="H21" s="20"/>
    </row>
    <row r="22" spans="1:19" x14ac:dyDescent="0.25">
      <c r="A22" s="20"/>
      <c r="B22" s="20"/>
      <c r="C22" s="20"/>
      <c r="D22" s="20"/>
      <c r="E22" s="20"/>
      <c r="F22" s="20"/>
      <c r="G22" s="20"/>
      <c r="H22" s="20"/>
    </row>
  </sheetData>
  <mergeCells count="1">
    <mergeCell ref="A20:H2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Leads</vt:lpstr>
      <vt:lpstr>Industries</vt:lpstr>
      <vt:lpstr>Find leads</vt:lpstr>
      <vt:lpstr>Summary</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Gaurav Chavan</cp:lastModifiedBy>
  <dcterms:created xsi:type="dcterms:W3CDTF">2026-10-09T11:33:18Z</dcterms:created>
  <dcterms:modified xsi:type="dcterms:W3CDTF">2026-10-09T11:33:26Z</dcterms:modified>
</cp:coreProperties>
</file>